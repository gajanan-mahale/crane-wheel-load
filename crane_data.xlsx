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Crane_Calc\"/>
    </mc:Choice>
  </mc:AlternateContent>
  <xr:revisionPtr revIDLastSave="0" documentId="8_{4ADE153D-3695-4579-855C-3878DAA4D6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G TAB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" i="3" l="1"/>
  <c r="J68" i="3" s="1"/>
  <c r="I68" i="3" s="1"/>
  <c r="F68" i="3" s="1"/>
  <c r="H69" i="3"/>
  <c r="J69" i="3" s="1"/>
  <c r="I69" i="3" s="1"/>
  <c r="F69" i="3" s="1"/>
  <c r="G70" i="3"/>
  <c r="H70" i="3"/>
  <c r="J70" i="3" s="1"/>
  <c r="G71" i="3"/>
  <c r="H71" i="3"/>
  <c r="J71" i="3"/>
  <c r="G72" i="3"/>
  <c r="H72" i="3"/>
  <c r="J72" i="3" s="1"/>
  <c r="G73" i="3"/>
  <c r="H73" i="3"/>
  <c r="J73" i="3" s="1"/>
  <c r="I73" i="3" s="1"/>
  <c r="F73" i="3" s="1"/>
  <c r="D73" i="3" s="1"/>
  <c r="G74" i="3"/>
  <c r="H74" i="3"/>
  <c r="J74" i="3" s="1"/>
  <c r="I74" i="3" s="1"/>
  <c r="F74" i="3" s="1"/>
  <c r="D74" i="3" s="1"/>
  <c r="G75" i="3"/>
  <c r="H75" i="3"/>
  <c r="J75" i="3" s="1"/>
  <c r="I75" i="3" s="1"/>
  <c r="F75" i="3" s="1"/>
  <c r="D75" i="3" s="1"/>
  <c r="G76" i="3"/>
  <c r="H76" i="3"/>
  <c r="J76" i="3" s="1"/>
  <c r="I76" i="3" s="1"/>
  <c r="F76" i="3" s="1"/>
  <c r="D76" i="3" s="1"/>
  <c r="G77" i="3"/>
  <c r="H77" i="3"/>
  <c r="J77" i="3" s="1"/>
  <c r="G78" i="3"/>
  <c r="H78" i="3"/>
  <c r="J78" i="3" s="1"/>
  <c r="G79" i="3"/>
  <c r="H79" i="3"/>
  <c r="J79" i="3" s="1"/>
  <c r="I79" i="3" s="1"/>
  <c r="F79" i="3" s="1"/>
  <c r="D79" i="3" s="1"/>
  <c r="G80" i="3"/>
  <c r="H80" i="3"/>
  <c r="J80" i="3"/>
  <c r="G81" i="3"/>
  <c r="H81" i="3"/>
  <c r="J81" i="3" s="1"/>
  <c r="I81" i="3" s="1"/>
  <c r="F81" i="3" s="1"/>
  <c r="D81" i="3" s="1"/>
  <c r="G82" i="3"/>
  <c r="H82" i="3"/>
  <c r="J82" i="3" s="1"/>
  <c r="G83" i="3"/>
  <c r="H83" i="3"/>
  <c r="J83" i="3" s="1"/>
  <c r="G84" i="3"/>
  <c r="H84" i="3"/>
  <c r="J84" i="3" s="1"/>
  <c r="G85" i="3"/>
  <c r="H85" i="3"/>
  <c r="J85" i="3" s="1"/>
  <c r="I85" i="3" s="1"/>
  <c r="F85" i="3" s="1"/>
  <c r="D85" i="3" s="1"/>
  <c r="G86" i="3"/>
  <c r="H86" i="3"/>
  <c r="J86" i="3" s="1"/>
  <c r="G87" i="3"/>
  <c r="H87" i="3"/>
  <c r="J87" i="3" s="1"/>
  <c r="I87" i="3" s="1"/>
  <c r="F87" i="3" s="1"/>
  <c r="D87" i="3" s="1"/>
  <c r="G88" i="3"/>
  <c r="H88" i="3"/>
  <c r="J88" i="3" s="1"/>
  <c r="G89" i="3"/>
  <c r="H89" i="3"/>
  <c r="J89" i="3" s="1"/>
  <c r="G90" i="3"/>
  <c r="H90" i="3"/>
  <c r="J90" i="3" s="1"/>
  <c r="G91" i="3"/>
  <c r="H91" i="3"/>
  <c r="J91" i="3" s="1"/>
  <c r="G92" i="3"/>
  <c r="H92" i="3"/>
  <c r="J92" i="3" s="1"/>
  <c r="G93" i="3"/>
  <c r="H93" i="3"/>
  <c r="J93" i="3" s="1"/>
  <c r="G94" i="3"/>
  <c r="H94" i="3"/>
  <c r="J94" i="3"/>
  <c r="G95" i="3"/>
  <c r="H95" i="3"/>
  <c r="J95" i="3" s="1"/>
  <c r="I95" i="3" s="1"/>
  <c r="F95" i="3" s="1"/>
  <c r="D95" i="3" s="1"/>
  <c r="G96" i="3"/>
  <c r="H96" i="3"/>
  <c r="J96" i="3" s="1"/>
  <c r="G97" i="3"/>
  <c r="H97" i="3"/>
  <c r="J97" i="3" s="1"/>
  <c r="I97" i="3" s="1"/>
  <c r="F97" i="3" s="1"/>
  <c r="D97" i="3" s="1"/>
  <c r="G98" i="3"/>
  <c r="H98" i="3"/>
  <c r="J98" i="3" s="1"/>
  <c r="G99" i="3"/>
  <c r="H99" i="3"/>
  <c r="J99" i="3"/>
  <c r="G100" i="3"/>
  <c r="H100" i="3"/>
  <c r="J100" i="3" s="1"/>
  <c r="I100" i="3" s="1"/>
  <c r="F100" i="3" s="1"/>
  <c r="D100" i="3" s="1"/>
  <c r="G101" i="3"/>
  <c r="H101" i="3"/>
  <c r="J101" i="3" s="1"/>
  <c r="G102" i="3"/>
  <c r="H102" i="3"/>
  <c r="J102" i="3" s="1"/>
  <c r="I102" i="3" s="1"/>
  <c r="F102" i="3" s="1"/>
  <c r="D102" i="3" s="1"/>
  <c r="G103" i="3"/>
  <c r="H103" i="3"/>
  <c r="J103" i="3" s="1"/>
  <c r="G104" i="3"/>
  <c r="H104" i="3"/>
  <c r="J104" i="3" s="1"/>
  <c r="G105" i="3"/>
  <c r="H105" i="3"/>
  <c r="J105" i="3" s="1"/>
  <c r="G106" i="3"/>
  <c r="H106" i="3"/>
  <c r="J106" i="3" s="1"/>
  <c r="G107" i="3"/>
  <c r="H107" i="3"/>
  <c r="J107" i="3"/>
  <c r="G108" i="3"/>
  <c r="H108" i="3"/>
  <c r="J108" i="3"/>
  <c r="G109" i="3"/>
  <c r="H109" i="3"/>
  <c r="J109" i="3" s="1"/>
  <c r="G110" i="3"/>
  <c r="H110" i="3"/>
  <c r="J110" i="3" s="1"/>
  <c r="G111" i="3"/>
  <c r="H111" i="3"/>
  <c r="J111" i="3" s="1"/>
  <c r="G112" i="3"/>
  <c r="H112" i="3"/>
  <c r="J112" i="3"/>
  <c r="I112" i="3" s="1"/>
  <c r="F112" i="3" s="1"/>
  <c r="D112" i="3" s="1"/>
  <c r="G113" i="3"/>
  <c r="H113" i="3"/>
  <c r="J113" i="3" s="1"/>
  <c r="I109" i="3" l="1"/>
  <c r="F109" i="3" s="1"/>
  <c r="D109" i="3" s="1"/>
  <c r="I93" i="3"/>
  <c r="F93" i="3" s="1"/>
  <c r="D93" i="3" s="1"/>
  <c r="I104" i="3"/>
  <c r="F104" i="3" s="1"/>
  <c r="D104" i="3" s="1"/>
  <c r="I99" i="3"/>
  <c r="F99" i="3" s="1"/>
  <c r="D99" i="3" s="1"/>
  <c r="I88" i="3"/>
  <c r="F88" i="3" s="1"/>
  <c r="D88" i="3" s="1"/>
  <c r="I111" i="3"/>
  <c r="F111" i="3" s="1"/>
  <c r="D111" i="3" s="1"/>
  <c r="I106" i="3"/>
  <c r="F106" i="3" s="1"/>
  <c r="D106" i="3" s="1"/>
  <c r="I113" i="3"/>
  <c r="F113" i="3" s="1"/>
  <c r="D113" i="3" s="1"/>
  <c r="I96" i="3"/>
  <c r="F96" i="3" s="1"/>
  <c r="D96" i="3" s="1"/>
  <c r="I83" i="3"/>
  <c r="F83" i="3" s="1"/>
  <c r="D83" i="3" s="1"/>
  <c r="I108" i="3"/>
  <c r="F108" i="3" s="1"/>
  <c r="D108" i="3" s="1"/>
  <c r="I107" i="3"/>
  <c r="F107" i="3" s="1"/>
  <c r="D107" i="3" s="1"/>
  <c r="I94" i="3"/>
  <c r="F94" i="3" s="1"/>
  <c r="D94" i="3" s="1"/>
  <c r="I86" i="3"/>
  <c r="F86" i="3" s="1"/>
  <c r="D86" i="3" s="1"/>
  <c r="I82" i="3"/>
  <c r="F82" i="3" s="1"/>
  <c r="D82" i="3" s="1"/>
  <c r="I72" i="3"/>
  <c r="F72" i="3" s="1"/>
  <c r="D72" i="3" s="1"/>
  <c r="I70" i="3"/>
  <c r="F70" i="3" s="1"/>
  <c r="D70" i="3" s="1"/>
  <c r="I90" i="3"/>
  <c r="F90" i="3" s="1"/>
  <c r="D90" i="3" s="1"/>
  <c r="I101" i="3"/>
  <c r="F101" i="3" s="1"/>
  <c r="D101" i="3" s="1"/>
  <c r="I80" i="3"/>
  <c r="F80" i="3" s="1"/>
  <c r="D80" i="3" s="1"/>
  <c r="I92" i="3"/>
  <c r="F92" i="3" s="1"/>
  <c r="D92" i="3" s="1"/>
  <c r="I84" i="3"/>
  <c r="F84" i="3" s="1"/>
  <c r="D84" i="3" s="1"/>
  <c r="I71" i="3"/>
  <c r="F71" i="3" s="1"/>
  <c r="D71" i="3" s="1"/>
  <c r="I105" i="3"/>
  <c r="F105" i="3" s="1"/>
  <c r="D105" i="3" s="1"/>
  <c r="D69" i="3"/>
  <c r="D68" i="3"/>
  <c r="I89" i="3"/>
  <c r="F89" i="3" s="1"/>
  <c r="D89" i="3" s="1"/>
  <c r="I78" i="3"/>
  <c r="F78" i="3" s="1"/>
  <c r="D78" i="3" s="1"/>
  <c r="I77" i="3"/>
  <c r="F77" i="3" s="1"/>
  <c r="D77" i="3" s="1"/>
  <c r="I91" i="3"/>
  <c r="F91" i="3" s="1"/>
  <c r="D91" i="3" s="1"/>
  <c r="I103" i="3"/>
  <c r="F103" i="3" s="1"/>
  <c r="D103" i="3" s="1"/>
  <c r="I98" i="3"/>
  <c r="F98" i="3" s="1"/>
  <c r="D98" i="3" s="1"/>
  <c r="I110" i="3"/>
  <c r="F110" i="3" s="1"/>
  <c r="D110" i="3" s="1"/>
  <c r="G114" i="3" l="1"/>
  <c r="H114" i="3"/>
  <c r="J114" i="3" s="1"/>
  <c r="G115" i="3"/>
  <c r="H115" i="3"/>
  <c r="J115" i="3"/>
  <c r="G116" i="3"/>
  <c r="H116" i="3"/>
  <c r="J116" i="3" s="1"/>
  <c r="G117" i="3"/>
  <c r="H117" i="3"/>
  <c r="G118" i="3"/>
  <c r="H118" i="3"/>
  <c r="J118" i="3" s="1"/>
  <c r="I118" i="3" s="1"/>
  <c r="F118" i="3" s="1"/>
  <c r="D118" i="3" s="1"/>
  <c r="G119" i="3"/>
  <c r="H119" i="3"/>
  <c r="J119" i="3" s="1"/>
  <c r="G120" i="3"/>
  <c r="H120" i="3"/>
  <c r="G121" i="3"/>
  <c r="H121" i="3"/>
  <c r="J121" i="3" s="1"/>
  <c r="I121" i="3"/>
  <c r="F121" i="3" s="1"/>
  <c r="D121" i="3" s="1"/>
  <c r="G122" i="3"/>
  <c r="H122" i="3"/>
  <c r="J122" i="3" s="1"/>
  <c r="G123" i="3"/>
  <c r="H123" i="3"/>
  <c r="G124" i="3"/>
  <c r="H124" i="3"/>
  <c r="J124" i="3" s="1"/>
  <c r="G125" i="3"/>
  <c r="H125" i="3"/>
  <c r="J125" i="3" s="1"/>
  <c r="G126" i="3"/>
  <c r="H126" i="3"/>
  <c r="G127" i="3"/>
  <c r="H127" i="3"/>
  <c r="J127" i="3" s="1"/>
  <c r="I127" i="3"/>
  <c r="F127" i="3" s="1"/>
  <c r="D127" i="3" s="1"/>
  <c r="G128" i="3"/>
  <c r="H128" i="3"/>
  <c r="J128" i="3" s="1"/>
  <c r="G129" i="3"/>
  <c r="H129" i="3"/>
  <c r="G130" i="3"/>
  <c r="H130" i="3"/>
  <c r="J130" i="3" s="1"/>
  <c r="G131" i="3"/>
  <c r="H131" i="3"/>
  <c r="J131" i="3" s="1"/>
  <c r="G132" i="3"/>
  <c r="H132" i="3"/>
  <c r="G133" i="3"/>
  <c r="H133" i="3"/>
  <c r="J133" i="3" s="1"/>
  <c r="I133" i="3" s="1"/>
  <c r="F133" i="3" s="1"/>
  <c r="D133" i="3" s="1"/>
  <c r="G134" i="3"/>
  <c r="H134" i="3"/>
  <c r="J134" i="3" s="1"/>
  <c r="G135" i="3"/>
  <c r="H135" i="3"/>
  <c r="G136" i="3"/>
  <c r="H136" i="3"/>
  <c r="J136" i="3" s="1"/>
  <c r="G137" i="3"/>
  <c r="H137" i="3"/>
  <c r="J137" i="3" s="1"/>
  <c r="I115" i="3" l="1"/>
  <c r="F115" i="3" s="1"/>
  <c r="D115" i="3" s="1"/>
  <c r="I136" i="3"/>
  <c r="F136" i="3" s="1"/>
  <c r="D136" i="3" s="1"/>
  <c r="I137" i="3"/>
  <c r="F137" i="3" s="1"/>
  <c r="D137" i="3" s="1"/>
  <c r="I130" i="3"/>
  <c r="F130" i="3" s="1"/>
  <c r="D130" i="3" s="1"/>
  <c r="I124" i="3"/>
  <c r="F124" i="3" s="1"/>
  <c r="D124" i="3" s="1"/>
  <c r="I119" i="3"/>
  <c r="F119" i="3" s="1"/>
  <c r="D119" i="3" s="1"/>
  <c r="J129" i="3"/>
  <c r="I129" i="3" s="1"/>
  <c r="F129" i="3" s="1"/>
  <c r="D129" i="3" s="1"/>
  <c r="J123" i="3"/>
  <c r="I123" i="3" s="1"/>
  <c r="F123" i="3" s="1"/>
  <c r="D123" i="3" s="1"/>
  <c r="J117" i="3"/>
  <c r="I117" i="3" s="1"/>
  <c r="F117" i="3" s="1"/>
  <c r="D117" i="3" s="1"/>
  <c r="J132" i="3"/>
  <c r="I132" i="3" s="1"/>
  <c r="F132" i="3" s="1"/>
  <c r="D132" i="3" s="1"/>
  <c r="J126" i="3"/>
  <c r="I126" i="3" s="1"/>
  <c r="F126" i="3" s="1"/>
  <c r="D126" i="3" s="1"/>
  <c r="J120" i="3"/>
  <c r="I120" i="3" s="1"/>
  <c r="F120" i="3" s="1"/>
  <c r="D120" i="3" s="1"/>
  <c r="J135" i="3"/>
  <c r="I135" i="3" s="1"/>
  <c r="F135" i="3" s="1"/>
  <c r="D135" i="3" s="1"/>
  <c r="I114" i="3"/>
  <c r="F114" i="3" s="1"/>
  <c r="D114" i="3" s="1"/>
  <c r="I131" i="3"/>
  <c r="F131" i="3" s="1"/>
  <c r="D131" i="3" s="1"/>
  <c r="I134" i="3"/>
  <c r="F134" i="3" s="1"/>
  <c r="D134" i="3" s="1"/>
  <c r="I128" i="3"/>
  <c r="F128" i="3" s="1"/>
  <c r="D128" i="3" s="1"/>
  <c r="I122" i="3"/>
  <c r="F122" i="3" s="1"/>
  <c r="D122" i="3" s="1"/>
  <c r="I116" i="3"/>
  <c r="F116" i="3" s="1"/>
  <c r="D116" i="3" s="1"/>
  <c r="I125" i="3"/>
  <c r="F125" i="3" s="1"/>
  <c r="D125" i="3" s="1"/>
</calcChain>
</file>

<file path=xl/sharedStrings.xml><?xml version="1.0" encoding="utf-8"?>
<sst xmlns="http://schemas.openxmlformats.org/spreadsheetml/2006/main" count="11" uniqueCount="11">
  <si>
    <t>Girder_kg</t>
  </si>
  <si>
    <t>Crane_kg</t>
  </si>
  <si>
    <t>SWL_kg</t>
  </si>
  <si>
    <t>Span_M</t>
  </si>
  <si>
    <t xml:space="preserve">WEIGHT CHART : CT &amp; LT WHEEL ASSEMBLY </t>
  </si>
  <si>
    <t>SL</t>
  </si>
  <si>
    <t>WHL 'D'</t>
  </si>
  <si>
    <t>WIDTH</t>
  </si>
  <si>
    <t>TW</t>
  </si>
  <si>
    <t>Wt OF :Kg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</si>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</sst>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3">
    <cellStyle name="Comma 2" xfId="1" xr:uid="{00000000-0005-0000-0000-000031000000}"/>
    <cellStyle name="Normal" xfId="0" builtinId="0"/>
    <cellStyle name="Normal 2" xfId="2" xr:uid="{00000000-0005-0000-0000-000032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40031-B987-45C4-8E5E-934A887E6448}" name="Table1" displayName="Table1" ref="A1:D138" totalsRowShown="0" headerRowDxfId="7" dataDxfId="5" headerRowBorderDxfId="6" tableBorderDxfId="4">
  <tableColumns count="4">
    <tableColumn id="1" xr3:uid="{8FE31FAA-23C3-45B5-AA04-28F2B47E82FB}" name="SWL_kg" dataDxfId="3"/>
    <tableColumn id="2" xr3:uid="{3A74F377-4A81-4C6F-9ECD-C865EFA4178C}" name="Span_M" dataDxfId="2"/>
    <tableColumn id="26" xr3:uid="{49FE21B7-F372-44D7-B0A4-0AFC9AB72AF6}" name="Girder_kg" dataDxfId="1"/>
    <tableColumn id="27" xr3:uid="{2F7BAE71-B644-4900-8FA6-79D4E6E727EE}" name="Crane_kg" dataDxfId="0">
      <calculatedColumnFormula>Table1[[#This Row],[Girder_kg]]+100+I46+0+50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8"/>
  <sheetViews>
    <sheetView tabSelected="1" topLeftCell="A125" workbookViewId="0">
      <selection activeCell="K137" sqref="K137"/>
    </sheetView>
  </sheetViews>
  <sheetFormatPr defaultColWidth="9.109375" defaultRowHeight="16.05" customHeight="1"/>
  <cols>
    <col min="2" max="2" width="9.77734375" style="1" customWidth="1"/>
    <col min="3" max="3" width="11.33203125" style="6" customWidth="1"/>
    <col min="4" max="4" width="13.21875" style="2" customWidth="1"/>
    <col min="5" max="5" width="12.33203125" style="2" customWidth="1"/>
    <col min="6" max="10" width="7.6640625" style="2" customWidth="1"/>
    <col min="11" max="11" width="9.6640625" style="2" bestFit="1" customWidth="1"/>
    <col min="12" max="12" width="9.5546875" style="2" bestFit="1" customWidth="1"/>
    <col min="13" max="13" width="10.44140625" style="2" bestFit="1" customWidth="1"/>
    <col min="14" max="18" width="9.6640625" style="2" bestFit="1" customWidth="1"/>
    <col min="19" max="25" width="7.6640625" style="2" customWidth="1"/>
    <col min="26" max="16384" width="9.109375" style="2"/>
  </cols>
  <sheetData>
    <row r="1" spans="1:17" s="3" customFormat="1" ht="16.05" customHeight="1">
      <c r="A1" s="3" t="s">
        <v>2</v>
      </c>
      <c r="B1" s="4" t="s">
        <v>3</v>
      </c>
      <c r="C1" s="3" t="s">
        <v>0</v>
      </c>
      <c r="D1" s="3" t="s">
        <v>1</v>
      </c>
    </row>
    <row r="2" spans="1:17" s="4" customFormat="1" ht="16.05" customHeight="1">
      <c r="A2" s="4">
        <v>1000</v>
      </c>
      <c r="B2" s="4">
        <v>4</v>
      </c>
      <c r="C2" s="4">
        <v>300</v>
      </c>
      <c r="D2" s="5">
        <v>630</v>
      </c>
    </row>
    <row r="3" spans="1:17" s="4" customFormat="1" ht="16.05" customHeight="1">
      <c r="A3" s="4">
        <v>1000</v>
      </c>
      <c r="B3" s="4">
        <v>5</v>
      </c>
      <c r="C3" s="4">
        <v>370</v>
      </c>
      <c r="D3" s="5">
        <v>700</v>
      </c>
    </row>
    <row r="4" spans="1:17" s="4" customFormat="1" ht="16.05" customHeight="1">
      <c r="A4" s="4">
        <v>1000</v>
      </c>
      <c r="B4" s="4">
        <v>6</v>
      </c>
      <c r="C4" s="4">
        <v>450</v>
      </c>
      <c r="D4" s="5">
        <v>780</v>
      </c>
      <c r="M4" s="10" t="s">
        <v>4</v>
      </c>
      <c r="N4" s="11"/>
      <c r="O4" s="11"/>
      <c r="P4" s="11"/>
      <c r="Q4" s="12"/>
    </row>
    <row r="5" spans="1:17" s="4" customFormat="1" ht="16.05" customHeight="1">
      <c r="A5" s="4">
        <v>1000</v>
      </c>
      <c r="B5" s="4">
        <v>7</v>
      </c>
      <c r="C5" s="4">
        <v>480</v>
      </c>
      <c r="D5" s="5">
        <v>830</v>
      </c>
      <c r="M5" s="7" t="s">
        <v>5</v>
      </c>
      <c r="N5" s="7" t="s">
        <v>6</v>
      </c>
      <c r="O5" s="7" t="s">
        <v>7</v>
      </c>
      <c r="P5" s="7" t="s">
        <v>8</v>
      </c>
      <c r="Q5" s="7" t="s">
        <v>9</v>
      </c>
    </row>
    <row r="6" spans="1:17" s="4" customFormat="1" ht="16.05" customHeight="1">
      <c r="A6" s="4">
        <v>1000</v>
      </c>
      <c r="B6" s="4">
        <v>8</v>
      </c>
      <c r="C6" s="4">
        <v>580</v>
      </c>
      <c r="D6" s="5">
        <v>940</v>
      </c>
      <c r="M6" s="8">
        <v>1</v>
      </c>
      <c r="N6" s="8">
        <v>130</v>
      </c>
      <c r="O6" s="8">
        <v>110</v>
      </c>
      <c r="P6" s="8">
        <v>65</v>
      </c>
      <c r="Q6" s="9">
        <v>100</v>
      </c>
    </row>
    <row r="7" spans="1:17" s="4" customFormat="1" ht="16.05" customHeight="1">
      <c r="A7" s="4">
        <v>1000</v>
      </c>
      <c r="B7" s="4">
        <v>9</v>
      </c>
      <c r="C7" s="4">
        <v>710</v>
      </c>
      <c r="D7" s="5">
        <v>1080</v>
      </c>
      <c r="M7" s="8">
        <v>2</v>
      </c>
      <c r="N7" s="8">
        <v>160</v>
      </c>
      <c r="O7" s="8">
        <v>120</v>
      </c>
      <c r="P7" s="8">
        <v>70</v>
      </c>
      <c r="Q7" s="9">
        <v>150</v>
      </c>
    </row>
    <row r="8" spans="1:17" s="4" customFormat="1" ht="16.05" customHeight="1">
      <c r="A8" s="4">
        <v>1000</v>
      </c>
      <c r="B8" s="4">
        <v>10</v>
      </c>
      <c r="C8" s="4">
        <v>780</v>
      </c>
      <c r="D8" s="5">
        <v>1170</v>
      </c>
      <c r="M8" s="8">
        <v>3</v>
      </c>
      <c r="N8" s="8">
        <v>200</v>
      </c>
      <c r="O8" s="8">
        <v>120</v>
      </c>
      <c r="P8" s="8">
        <v>70</v>
      </c>
      <c r="Q8" s="9">
        <v>200</v>
      </c>
    </row>
    <row r="9" spans="1:17" s="4" customFormat="1" ht="16.05" customHeight="1">
      <c r="A9" s="4">
        <v>1000</v>
      </c>
      <c r="B9" s="4">
        <v>11</v>
      </c>
      <c r="C9" s="4">
        <v>950</v>
      </c>
      <c r="D9" s="5">
        <v>1380</v>
      </c>
      <c r="M9" s="8">
        <v>4</v>
      </c>
      <c r="N9" s="8">
        <v>250</v>
      </c>
      <c r="O9" s="8">
        <v>130</v>
      </c>
      <c r="P9" s="8">
        <v>80</v>
      </c>
      <c r="Q9" s="9">
        <v>300</v>
      </c>
    </row>
    <row r="10" spans="1:17" s="4" customFormat="1" ht="16.05" customHeight="1">
      <c r="A10" s="4">
        <v>1000</v>
      </c>
      <c r="B10" s="4">
        <v>12</v>
      </c>
      <c r="C10" s="4">
        <v>1050</v>
      </c>
      <c r="D10" s="5">
        <v>1500</v>
      </c>
      <c r="M10" s="8"/>
      <c r="N10" s="8"/>
      <c r="O10" s="8"/>
      <c r="P10" s="8"/>
      <c r="Q10" s="9"/>
    </row>
    <row r="11" spans="1:17" s="4" customFormat="1" ht="16.05" customHeight="1">
      <c r="A11" s="4">
        <v>1000</v>
      </c>
      <c r="B11" s="4">
        <v>13</v>
      </c>
      <c r="C11" s="4">
        <v>1200</v>
      </c>
      <c r="D11" s="5">
        <v>1660</v>
      </c>
      <c r="M11" s="8"/>
      <c r="N11" s="8"/>
      <c r="O11" s="8"/>
      <c r="P11" s="8"/>
      <c r="Q11" s="9"/>
    </row>
    <row r="12" spans="1:17" s="4" customFormat="1" ht="16.05" customHeight="1">
      <c r="A12" s="4">
        <v>1000</v>
      </c>
      <c r="B12" s="4">
        <v>14</v>
      </c>
      <c r="C12" s="4">
        <v>1370</v>
      </c>
      <c r="D12" s="5">
        <v>1850</v>
      </c>
      <c r="M12" s="8"/>
      <c r="N12" s="8"/>
      <c r="O12" s="8"/>
      <c r="P12" s="8"/>
      <c r="Q12" s="9"/>
    </row>
    <row r="13" spans="1:17" s="4" customFormat="1" ht="16.05" customHeight="1">
      <c r="A13" s="4">
        <v>1000</v>
      </c>
      <c r="B13" s="4">
        <v>15</v>
      </c>
      <c r="C13" s="4">
        <v>1500</v>
      </c>
      <c r="D13" s="5">
        <v>2000</v>
      </c>
      <c r="M13" s="8"/>
      <c r="N13" s="8"/>
      <c r="O13" s="8"/>
      <c r="P13" s="8"/>
      <c r="Q13" s="9"/>
    </row>
    <row r="14" spans="1:17" s="4" customFormat="1" ht="16.05" customHeight="1">
      <c r="A14" s="4">
        <v>1000</v>
      </c>
      <c r="B14" s="4">
        <v>16</v>
      </c>
      <c r="C14" s="4">
        <v>1700</v>
      </c>
      <c r="D14" s="5">
        <v>2210</v>
      </c>
    </row>
    <row r="15" spans="1:17" s="4" customFormat="1" ht="16.05" customHeight="1">
      <c r="A15" s="4">
        <v>1000</v>
      </c>
      <c r="B15" s="4">
        <v>17</v>
      </c>
      <c r="C15" s="4">
        <v>1870</v>
      </c>
      <c r="D15" s="5">
        <v>2400</v>
      </c>
    </row>
    <row r="16" spans="1:17" s="4" customFormat="1" ht="16.05" customHeight="1">
      <c r="A16" s="4">
        <v>1000</v>
      </c>
      <c r="B16" s="4">
        <v>18</v>
      </c>
      <c r="C16" s="4">
        <v>2060</v>
      </c>
      <c r="D16" s="5">
        <v>2610</v>
      </c>
    </row>
    <row r="17" spans="1:4" s="4" customFormat="1" ht="16.05" customHeight="1">
      <c r="A17" s="4">
        <v>1000</v>
      </c>
      <c r="B17" s="4">
        <v>19</v>
      </c>
      <c r="C17" s="4">
        <v>2260</v>
      </c>
      <c r="D17" s="5">
        <v>2820</v>
      </c>
    </row>
    <row r="18" spans="1:4" s="4" customFormat="1" ht="16.05" customHeight="1">
      <c r="A18" s="4">
        <v>1000</v>
      </c>
      <c r="B18" s="4">
        <v>20</v>
      </c>
      <c r="C18" s="4">
        <v>2500</v>
      </c>
      <c r="D18" s="5">
        <v>3080</v>
      </c>
    </row>
    <row r="19" spans="1:4" s="4" customFormat="1" ht="16.05" customHeight="1">
      <c r="A19" s="4">
        <v>1000</v>
      </c>
      <c r="B19" s="4">
        <v>21</v>
      </c>
      <c r="C19" s="4">
        <v>2800</v>
      </c>
      <c r="D19" s="5">
        <v>3430</v>
      </c>
    </row>
    <row r="20" spans="1:4" s="4" customFormat="1" ht="16.05" customHeight="1">
      <c r="A20" s="4">
        <v>1000</v>
      </c>
      <c r="B20" s="4">
        <v>22</v>
      </c>
      <c r="C20" s="4">
        <v>3000</v>
      </c>
      <c r="D20" s="5">
        <v>3650</v>
      </c>
    </row>
    <row r="21" spans="1:4" s="4" customFormat="1" ht="16.05" customHeight="1">
      <c r="A21" s="4">
        <v>1000</v>
      </c>
      <c r="B21" s="4">
        <v>23</v>
      </c>
      <c r="C21" s="4">
        <v>3260</v>
      </c>
      <c r="D21" s="5">
        <v>3930</v>
      </c>
    </row>
    <row r="22" spans="1:4" s="4" customFormat="1" ht="16.05" customHeight="1">
      <c r="A22" s="4">
        <v>1000</v>
      </c>
      <c r="B22" s="4">
        <v>24</v>
      </c>
      <c r="C22" s="4">
        <v>3600</v>
      </c>
      <c r="D22" s="5">
        <v>4280</v>
      </c>
    </row>
    <row r="23" spans="1:4" s="4" customFormat="1" ht="16.05" customHeight="1">
      <c r="A23" s="4">
        <v>1000</v>
      </c>
      <c r="B23" s="4">
        <v>25</v>
      </c>
      <c r="C23" s="4">
        <v>4000</v>
      </c>
      <c r="D23" s="5">
        <v>4710</v>
      </c>
    </row>
    <row r="24" spans="1:4" s="4" customFormat="1" ht="16.05" customHeight="1">
      <c r="A24" s="4">
        <v>2000</v>
      </c>
      <c r="B24" s="4">
        <v>4</v>
      </c>
      <c r="C24" s="4">
        <v>300</v>
      </c>
      <c r="D24" s="5">
        <v>630</v>
      </c>
    </row>
    <row r="25" spans="1:4" s="4" customFormat="1" ht="16.05" customHeight="1">
      <c r="A25" s="4">
        <v>2000</v>
      </c>
      <c r="B25" s="4">
        <v>5</v>
      </c>
      <c r="C25" s="4">
        <v>370</v>
      </c>
      <c r="D25" s="5">
        <v>700</v>
      </c>
    </row>
    <row r="26" spans="1:4" s="4" customFormat="1" ht="16.05" customHeight="1">
      <c r="A26" s="4">
        <v>2000</v>
      </c>
      <c r="B26" s="4">
        <v>6</v>
      </c>
      <c r="C26" s="4">
        <v>450</v>
      </c>
      <c r="D26" s="5">
        <v>780</v>
      </c>
    </row>
    <row r="27" spans="1:4" s="4" customFormat="1" ht="16.05" customHeight="1">
      <c r="A27" s="4">
        <v>2000</v>
      </c>
      <c r="B27" s="4">
        <v>7</v>
      </c>
      <c r="C27" s="4">
        <v>480</v>
      </c>
      <c r="D27" s="5">
        <v>830</v>
      </c>
    </row>
    <row r="28" spans="1:4" s="4" customFormat="1" ht="16.05" customHeight="1">
      <c r="A28" s="4">
        <v>2000</v>
      </c>
      <c r="B28" s="4">
        <v>8</v>
      </c>
      <c r="C28" s="4">
        <v>580</v>
      </c>
      <c r="D28" s="5">
        <v>940</v>
      </c>
    </row>
    <row r="29" spans="1:4" s="4" customFormat="1" ht="16.05" customHeight="1">
      <c r="A29" s="4">
        <v>2000</v>
      </c>
      <c r="B29" s="4">
        <v>9</v>
      </c>
      <c r="C29" s="4">
        <v>710</v>
      </c>
      <c r="D29" s="5">
        <v>1080</v>
      </c>
    </row>
    <row r="30" spans="1:4" s="4" customFormat="1" ht="16.05" customHeight="1">
      <c r="A30" s="4">
        <v>2000</v>
      </c>
      <c r="B30" s="4">
        <v>10</v>
      </c>
      <c r="C30" s="4">
        <v>850</v>
      </c>
      <c r="D30" s="5">
        <v>1170</v>
      </c>
    </row>
    <row r="31" spans="1:4" s="4" customFormat="1" ht="16.05" customHeight="1">
      <c r="A31" s="4">
        <v>2000</v>
      </c>
      <c r="B31" s="4">
        <v>11</v>
      </c>
      <c r="C31" s="4">
        <v>1000</v>
      </c>
      <c r="D31" s="5">
        <v>1380</v>
      </c>
    </row>
    <row r="32" spans="1:4" s="4" customFormat="1" ht="16.05" customHeight="1">
      <c r="A32" s="4">
        <v>2000</v>
      </c>
      <c r="B32" s="4">
        <v>12</v>
      </c>
      <c r="C32" s="4">
        <v>1250</v>
      </c>
      <c r="D32" s="5">
        <v>1500</v>
      </c>
    </row>
    <row r="33" spans="1:4" s="4" customFormat="1" ht="16.05" customHeight="1">
      <c r="A33" s="4">
        <v>2000</v>
      </c>
      <c r="B33" s="4">
        <v>13</v>
      </c>
      <c r="C33" s="4">
        <v>1300</v>
      </c>
      <c r="D33" s="5">
        <v>1660</v>
      </c>
    </row>
    <row r="34" spans="1:4" s="4" customFormat="1" ht="16.05" customHeight="1">
      <c r="A34" s="4">
        <v>2000</v>
      </c>
      <c r="B34" s="4">
        <v>14</v>
      </c>
      <c r="C34" s="4">
        <v>1570</v>
      </c>
      <c r="D34" s="5">
        <v>1850</v>
      </c>
    </row>
    <row r="35" spans="1:4" s="4" customFormat="1" ht="16.05" customHeight="1">
      <c r="A35" s="4">
        <v>2000</v>
      </c>
      <c r="B35" s="4">
        <v>15</v>
      </c>
      <c r="C35" s="4">
        <v>1680</v>
      </c>
      <c r="D35" s="5">
        <v>2000</v>
      </c>
    </row>
    <row r="36" spans="1:4" s="4" customFormat="1" ht="16.05" customHeight="1">
      <c r="A36" s="4">
        <v>2000</v>
      </c>
      <c r="B36" s="4">
        <v>16</v>
      </c>
      <c r="C36" s="4">
        <v>1700</v>
      </c>
      <c r="D36" s="5">
        <v>2210</v>
      </c>
    </row>
    <row r="37" spans="1:4" s="4" customFormat="1" ht="16.05" customHeight="1">
      <c r="A37" s="4">
        <v>2000</v>
      </c>
      <c r="B37" s="4">
        <v>17</v>
      </c>
      <c r="C37" s="4">
        <v>1870</v>
      </c>
      <c r="D37" s="5">
        <v>2400</v>
      </c>
    </row>
    <row r="38" spans="1:4" s="4" customFormat="1" ht="16.05" customHeight="1">
      <c r="A38" s="4">
        <v>2000</v>
      </c>
      <c r="B38" s="4">
        <v>18</v>
      </c>
      <c r="C38" s="4">
        <v>2060</v>
      </c>
      <c r="D38" s="5">
        <v>2610</v>
      </c>
    </row>
    <row r="39" spans="1:4" s="4" customFormat="1" ht="16.05" customHeight="1">
      <c r="A39" s="4">
        <v>2000</v>
      </c>
      <c r="B39" s="4">
        <v>19</v>
      </c>
      <c r="C39" s="4">
        <v>2260</v>
      </c>
      <c r="D39" s="5">
        <v>2820</v>
      </c>
    </row>
    <row r="40" spans="1:4" s="4" customFormat="1" ht="16.05" customHeight="1">
      <c r="A40" s="4">
        <v>2000</v>
      </c>
      <c r="B40" s="4">
        <v>20</v>
      </c>
      <c r="C40" s="4">
        <v>2550</v>
      </c>
      <c r="D40" s="5">
        <v>3080</v>
      </c>
    </row>
    <row r="41" spans="1:4" s="4" customFormat="1" ht="16.05" customHeight="1">
      <c r="A41" s="4">
        <v>2000</v>
      </c>
      <c r="B41" s="4">
        <v>21</v>
      </c>
      <c r="C41" s="4">
        <v>2800</v>
      </c>
      <c r="D41" s="5">
        <v>3430</v>
      </c>
    </row>
    <row r="42" spans="1:4" s="4" customFormat="1" ht="16.05" customHeight="1">
      <c r="A42" s="4">
        <v>2000</v>
      </c>
      <c r="B42" s="4">
        <v>22</v>
      </c>
      <c r="C42" s="4">
        <v>3000</v>
      </c>
      <c r="D42" s="5">
        <v>3650</v>
      </c>
    </row>
    <row r="43" spans="1:4" s="4" customFormat="1" ht="16.05" customHeight="1">
      <c r="A43" s="4">
        <v>2000</v>
      </c>
      <c r="B43" s="4">
        <v>23</v>
      </c>
      <c r="C43" s="4">
        <v>3260</v>
      </c>
      <c r="D43" s="5">
        <v>3930</v>
      </c>
    </row>
    <row r="44" spans="1:4" s="4" customFormat="1" ht="16.05" customHeight="1">
      <c r="A44" s="4">
        <v>2000</v>
      </c>
      <c r="B44" s="4">
        <v>24</v>
      </c>
      <c r="C44" s="4">
        <v>3600</v>
      </c>
      <c r="D44" s="5">
        <v>4280</v>
      </c>
    </row>
    <row r="45" spans="1:4" s="4" customFormat="1" ht="16.05" customHeight="1">
      <c r="A45" s="4">
        <v>2000</v>
      </c>
      <c r="B45" s="4">
        <v>25</v>
      </c>
      <c r="C45" s="4">
        <v>4000</v>
      </c>
      <c r="D45" s="5">
        <v>4710</v>
      </c>
    </row>
    <row r="46" spans="1:4" s="4" customFormat="1" ht="16.05" customHeight="1">
      <c r="A46" s="4">
        <v>3000</v>
      </c>
      <c r="B46" s="4">
        <v>4</v>
      </c>
      <c r="C46" s="4">
        <v>325</v>
      </c>
      <c r="D46" s="5">
        <v>860</v>
      </c>
    </row>
    <row r="47" spans="1:4" s="4" customFormat="1" ht="16.05" customHeight="1">
      <c r="A47" s="4">
        <v>3000</v>
      </c>
      <c r="B47" s="4">
        <v>5</v>
      </c>
      <c r="C47" s="4">
        <v>400</v>
      </c>
      <c r="D47" s="5">
        <v>930</v>
      </c>
    </row>
    <row r="48" spans="1:4" s="4" customFormat="1" ht="16.05" customHeight="1">
      <c r="A48" s="4">
        <v>3000</v>
      </c>
      <c r="B48" s="4">
        <v>6</v>
      </c>
      <c r="C48" s="4">
        <v>500</v>
      </c>
      <c r="D48" s="5">
        <v>1030</v>
      </c>
    </row>
    <row r="49" spans="1:10" s="4" customFormat="1" ht="16.05" customHeight="1">
      <c r="A49" s="4">
        <v>3000</v>
      </c>
      <c r="B49" s="4">
        <v>7</v>
      </c>
      <c r="C49" s="4">
        <v>575</v>
      </c>
      <c r="D49" s="5">
        <v>1110</v>
      </c>
    </row>
    <row r="50" spans="1:10" s="4" customFormat="1" ht="16.05" customHeight="1">
      <c r="A50" s="4">
        <v>3000</v>
      </c>
      <c r="B50" s="4">
        <v>8</v>
      </c>
      <c r="C50" s="4">
        <v>700</v>
      </c>
      <c r="D50" s="5">
        <v>1230</v>
      </c>
    </row>
    <row r="51" spans="1:10" s="4" customFormat="1" ht="16.05" customHeight="1">
      <c r="A51" s="4">
        <v>3000</v>
      </c>
      <c r="B51" s="4">
        <v>9</v>
      </c>
      <c r="C51" s="4">
        <v>800</v>
      </c>
      <c r="D51" s="5">
        <v>1330</v>
      </c>
    </row>
    <row r="52" spans="1:10" s="4" customFormat="1" ht="16.05" customHeight="1">
      <c r="A52" s="4">
        <v>3000</v>
      </c>
      <c r="B52" s="4">
        <v>10</v>
      </c>
      <c r="C52" s="4">
        <v>925</v>
      </c>
      <c r="D52" s="5">
        <v>1460</v>
      </c>
    </row>
    <row r="53" spans="1:10" s="4" customFormat="1" ht="16.05" customHeight="1">
      <c r="A53" s="4">
        <v>3000</v>
      </c>
      <c r="B53" s="4">
        <v>11</v>
      </c>
      <c r="C53" s="4">
        <v>1050</v>
      </c>
      <c r="D53" s="5">
        <v>1580</v>
      </c>
    </row>
    <row r="54" spans="1:10" s="4" customFormat="1" ht="16.05" customHeight="1">
      <c r="A54" s="4">
        <v>3000</v>
      </c>
      <c r="B54" s="4">
        <v>12</v>
      </c>
      <c r="C54" s="4">
        <v>1225</v>
      </c>
      <c r="D54" s="5">
        <v>1760</v>
      </c>
    </row>
    <row r="55" spans="1:10" s="4" customFormat="1" ht="16.05" customHeight="1">
      <c r="A55" s="4">
        <v>3000</v>
      </c>
      <c r="B55" s="4">
        <v>13</v>
      </c>
      <c r="C55" s="4">
        <v>1400</v>
      </c>
      <c r="D55" s="5">
        <v>1930</v>
      </c>
    </row>
    <row r="56" spans="1:10" s="4" customFormat="1" ht="16.05" customHeight="1">
      <c r="A56" s="4">
        <v>3000</v>
      </c>
      <c r="B56" s="4">
        <v>14</v>
      </c>
      <c r="C56" s="4">
        <v>1600</v>
      </c>
      <c r="D56" s="5">
        <v>2130</v>
      </c>
    </row>
    <row r="57" spans="1:10" s="4" customFormat="1" ht="16.05" customHeight="1">
      <c r="A57" s="4">
        <v>3000</v>
      </c>
      <c r="B57" s="4">
        <v>15</v>
      </c>
      <c r="C57" s="4">
        <v>1850</v>
      </c>
      <c r="D57" s="5">
        <v>2380</v>
      </c>
    </row>
    <row r="58" spans="1:10" s="4" customFormat="1" ht="16.05" customHeight="1">
      <c r="A58" s="4">
        <v>3000</v>
      </c>
      <c r="B58" s="4">
        <v>16</v>
      </c>
      <c r="C58" s="4">
        <v>1970</v>
      </c>
      <c r="D58" s="5">
        <v>2500</v>
      </c>
    </row>
    <row r="59" spans="1:10" ht="16.05" customHeight="1">
      <c r="A59" s="4">
        <v>3000</v>
      </c>
      <c r="B59" s="4">
        <v>17</v>
      </c>
      <c r="C59" s="4">
        <v>2150</v>
      </c>
      <c r="D59" s="5">
        <v>2680</v>
      </c>
      <c r="F59" s="4"/>
      <c r="G59" s="4"/>
      <c r="H59" s="4"/>
      <c r="I59" s="4"/>
      <c r="J59" s="4"/>
    </row>
    <row r="60" spans="1:10" ht="16.05" customHeight="1">
      <c r="A60" s="4">
        <v>3000</v>
      </c>
      <c r="B60" s="4">
        <v>18</v>
      </c>
      <c r="C60" s="4">
        <v>2300</v>
      </c>
      <c r="D60" s="5">
        <v>2830</v>
      </c>
      <c r="F60" s="4"/>
      <c r="G60" s="4"/>
      <c r="H60" s="4"/>
      <c r="I60" s="4"/>
      <c r="J60" s="4"/>
    </row>
    <row r="61" spans="1:10" ht="16.05" customHeight="1">
      <c r="A61" s="4">
        <v>3000</v>
      </c>
      <c r="B61" s="4">
        <v>19</v>
      </c>
      <c r="C61" s="4">
        <v>2900</v>
      </c>
      <c r="D61" s="5">
        <v>3430</v>
      </c>
      <c r="F61" s="4"/>
      <c r="G61" s="4"/>
      <c r="H61" s="4"/>
      <c r="I61" s="4"/>
      <c r="J61" s="4"/>
    </row>
    <row r="62" spans="1:10" ht="16.05" customHeight="1">
      <c r="A62" s="4">
        <v>3000</v>
      </c>
      <c r="B62" s="4">
        <v>20</v>
      </c>
      <c r="C62" s="4">
        <v>4360</v>
      </c>
      <c r="D62" s="5">
        <v>4890</v>
      </c>
      <c r="F62" s="4"/>
      <c r="G62" s="4"/>
      <c r="H62" s="4"/>
      <c r="I62" s="4"/>
      <c r="J62" s="4"/>
    </row>
    <row r="63" spans="1:10" ht="16.05" customHeight="1">
      <c r="A63" s="4">
        <v>3000</v>
      </c>
      <c r="B63" s="4">
        <v>21</v>
      </c>
      <c r="C63" s="4">
        <v>4580</v>
      </c>
      <c r="D63" s="5">
        <v>5110</v>
      </c>
      <c r="F63" s="4"/>
      <c r="G63" s="4"/>
      <c r="H63" s="4"/>
      <c r="I63" s="4"/>
      <c r="J63" s="4"/>
    </row>
    <row r="64" spans="1:10" ht="16.05" customHeight="1">
      <c r="A64" s="4">
        <v>3000</v>
      </c>
      <c r="B64" s="4">
        <v>22</v>
      </c>
      <c r="C64" s="4">
        <v>4800</v>
      </c>
      <c r="D64" s="5">
        <v>5330</v>
      </c>
      <c r="F64" s="4"/>
      <c r="G64" s="4"/>
      <c r="H64" s="4"/>
      <c r="I64" s="4"/>
      <c r="J64" s="4"/>
    </row>
    <row r="65" spans="1:10" ht="16.05" customHeight="1">
      <c r="A65" s="4">
        <v>3000</v>
      </c>
      <c r="B65" s="4">
        <v>23</v>
      </c>
      <c r="C65" s="4">
        <v>3900</v>
      </c>
      <c r="D65" s="5">
        <v>4430</v>
      </c>
      <c r="F65" s="4"/>
      <c r="G65" s="4"/>
      <c r="H65" s="4"/>
      <c r="I65" s="4"/>
      <c r="J65" s="4"/>
    </row>
    <row r="66" spans="1:10" ht="16.05" customHeight="1">
      <c r="A66" s="4">
        <v>3000</v>
      </c>
      <c r="B66" s="4">
        <v>24</v>
      </c>
      <c r="C66" s="4">
        <v>4300</v>
      </c>
      <c r="D66" s="5">
        <v>4830</v>
      </c>
      <c r="F66" s="4"/>
      <c r="G66" s="4"/>
      <c r="H66" s="4"/>
      <c r="I66" s="4"/>
      <c r="J66" s="4"/>
    </row>
    <row r="67" spans="1:10" ht="16.05" customHeight="1">
      <c r="A67" s="4">
        <v>3000</v>
      </c>
      <c r="B67" s="4">
        <v>25</v>
      </c>
      <c r="C67" s="4">
        <v>4500</v>
      </c>
      <c r="D67" s="5">
        <v>5030</v>
      </c>
      <c r="F67" s="4"/>
      <c r="G67" s="4"/>
      <c r="H67" s="4"/>
      <c r="I67" s="4" t="s">
        <v>10</v>
      </c>
      <c r="J67" s="4"/>
    </row>
    <row r="68" spans="1:10" ht="16.05" customHeight="1">
      <c r="A68" s="4">
        <v>5000</v>
      </c>
      <c r="B68" s="4">
        <v>4</v>
      </c>
      <c r="C68" s="4">
        <v>325</v>
      </c>
      <c r="D68" s="5">
        <f t="shared" ref="D68:D90" si="0">_xlfn.CEILING.MATH(F68,10)</f>
        <v>1440</v>
      </c>
      <c r="F68" s="4">
        <f>Table1[[#This Row],[Girder_kg]]+50+I68+100+250+400</f>
        <v>1435.125</v>
      </c>
      <c r="G68" s="4">
        <v>1000</v>
      </c>
      <c r="H68" s="4">
        <f>_xlfn.CEILING.MATH((Table1[[#This Row],[Span_M]]*1000/58+150),20)</f>
        <v>220</v>
      </c>
      <c r="I68" s="4">
        <f t="shared" ref="I68:I89" si="1">(G68+0.5)/1000*250+J68</f>
        <v>310.125</v>
      </c>
      <c r="J68" s="4">
        <f t="shared" ref="J68:J89" si="2">_xlfn.CEILING.MATH((16*500*H68*4*7.85/1000000),5)</f>
        <v>60</v>
      </c>
    </row>
    <row r="69" spans="1:10" ht="16.05" customHeight="1">
      <c r="A69" s="4">
        <v>5000</v>
      </c>
      <c r="B69" s="4">
        <v>5</v>
      </c>
      <c r="C69" s="4">
        <v>440</v>
      </c>
      <c r="D69" s="5">
        <f t="shared" si="0"/>
        <v>1560</v>
      </c>
      <c r="F69" s="4">
        <f>Table1[[#This Row],[Girder_kg]]+50+I69+100+250+400</f>
        <v>1555.125</v>
      </c>
      <c r="G69" s="4">
        <v>1000</v>
      </c>
      <c r="H69" s="4">
        <f>_xlfn.CEILING.MATH((Table1[[#This Row],[Span_M]]*1000/58+150),20)</f>
        <v>240</v>
      </c>
      <c r="I69" s="4">
        <f t="shared" si="1"/>
        <v>315.125</v>
      </c>
      <c r="J69" s="4">
        <f t="shared" si="2"/>
        <v>65</v>
      </c>
    </row>
    <row r="70" spans="1:10" ht="16.05" customHeight="1">
      <c r="A70" s="4">
        <v>5000</v>
      </c>
      <c r="B70" s="4">
        <v>6</v>
      </c>
      <c r="C70" s="4">
        <v>600</v>
      </c>
      <c r="D70" s="5">
        <f t="shared" si="0"/>
        <v>1730</v>
      </c>
      <c r="F70" s="4">
        <f>Table1[[#This Row],[Girder_kg]]+50+I70+100+250+400</f>
        <v>1720.125</v>
      </c>
      <c r="G70" s="4">
        <f>_xlfn.CEILING.MATH((Table1[[#This Row],[Span_M]]*1000/6),50)</f>
        <v>1000</v>
      </c>
      <c r="H70" s="4">
        <f>_xlfn.CEILING.MATH((Table1[[#This Row],[Span_M]]*1000/58+150),20)</f>
        <v>260</v>
      </c>
      <c r="I70" s="4">
        <f t="shared" si="1"/>
        <v>320.125</v>
      </c>
      <c r="J70" s="4">
        <f t="shared" si="2"/>
        <v>70</v>
      </c>
    </row>
    <row r="71" spans="1:10" ht="16.05" customHeight="1">
      <c r="A71" s="4">
        <v>5000</v>
      </c>
      <c r="B71" s="4">
        <v>7</v>
      </c>
      <c r="C71" s="4">
        <v>725</v>
      </c>
      <c r="D71" s="5">
        <f t="shared" si="0"/>
        <v>1910</v>
      </c>
      <c r="F71" s="4">
        <f>Table1[[#This Row],[Girder_kg]]+50+I71+100+250+400</f>
        <v>1900.125</v>
      </c>
      <c r="G71" s="4">
        <f>_xlfn.CEILING.MATH((Table1[[#This Row],[Span_M]]*1000/6),50)</f>
        <v>1200</v>
      </c>
      <c r="H71" s="4">
        <f>_xlfn.CEILING.MATH((Table1[[#This Row],[Span_M]]*1000/58+150),20)</f>
        <v>280</v>
      </c>
      <c r="I71" s="4">
        <f t="shared" si="1"/>
        <v>375.125</v>
      </c>
      <c r="J71" s="4">
        <f t="shared" si="2"/>
        <v>75</v>
      </c>
    </row>
    <row r="72" spans="1:10" ht="16.05" customHeight="1">
      <c r="A72" s="4">
        <v>5000</v>
      </c>
      <c r="B72" s="4">
        <v>8</v>
      </c>
      <c r="C72" s="4">
        <v>850</v>
      </c>
      <c r="D72" s="5">
        <f t="shared" si="0"/>
        <v>2070</v>
      </c>
      <c r="F72" s="4">
        <f>Table1[[#This Row],[Girder_kg]]+50+I72+100+250+400</f>
        <v>2067.625</v>
      </c>
      <c r="G72" s="4">
        <f>_xlfn.CEILING.MATH((Table1[[#This Row],[Span_M]]*1000/6),50)</f>
        <v>1350</v>
      </c>
      <c r="H72" s="4">
        <f>_xlfn.CEILING.MATH((Table1[[#This Row],[Span_M]]*1000/58+150),20)</f>
        <v>300</v>
      </c>
      <c r="I72" s="4">
        <f t="shared" si="1"/>
        <v>417.625</v>
      </c>
      <c r="J72" s="4">
        <f t="shared" si="2"/>
        <v>80</v>
      </c>
    </row>
    <row r="73" spans="1:10" ht="16.05" customHeight="1">
      <c r="A73" s="4">
        <v>5000</v>
      </c>
      <c r="B73" s="4">
        <v>9</v>
      </c>
      <c r="C73" s="4">
        <v>950</v>
      </c>
      <c r="D73" s="5">
        <f t="shared" si="0"/>
        <v>2220</v>
      </c>
      <c r="F73" s="4">
        <f>Table1[[#This Row],[Girder_kg]]+50+I73+100+250+400</f>
        <v>2210.125</v>
      </c>
      <c r="G73" s="4">
        <f>_xlfn.CEILING.MATH((Table1[[#This Row],[Span_M]]*1000/6),50)</f>
        <v>1500</v>
      </c>
      <c r="H73" s="4">
        <f>_xlfn.CEILING.MATH((Table1[[#This Row],[Span_M]]*1000/58+150),20)</f>
        <v>320</v>
      </c>
      <c r="I73" s="4">
        <f t="shared" si="1"/>
        <v>460.125</v>
      </c>
      <c r="J73" s="4">
        <f t="shared" si="2"/>
        <v>85</v>
      </c>
    </row>
    <row r="74" spans="1:10" ht="16.05" customHeight="1">
      <c r="A74" s="4">
        <v>5000</v>
      </c>
      <c r="B74" s="4">
        <v>10</v>
      </c>
      <c r="C74" s="5">
        <v>1265</v>
      </c>
      <c r="D74" s="5">
        <f t="shared" si="0"/>
        <v>2590</v>
      </c>
      <c r="F74" s="4">
        <f>Table1[[#This Row],[Girder_kg]]+50+I74+100+250+400</f>
        <v>2580.125</v>
      </c>
      <c r="G74" s="4">
        <f>_xlfn.CEILING.MATH((Table1[[#This Row],[Span_M]]*1000/6),50)</f>
        <v>1700</v>
      </c>
      <c r="H74" s="4">
        <f>_xlfn.CEILING.MATH((Table1[[#This Row],[Span_M]]*1000/58+150),20)</f>
        <v>340</v>
      </c>
      <c r="I74" s="4">
        <f t="shared" si="1"/>
        <v>515.125</v>
      </c>
      <c r="J74" s="4">
        <f t="shared" si="2"/>
        <v>90</v>
      </c>
    </row>
    <row r="75" spans="1:10" ht="16.05" customHeight="1">
      <c r="A75" s="4">
        <v>5000</v>
      </c>
      <c r="B75" s="4">
        <v>11</v>
      </c>
      <c r="C75" s="5">
        <v>1567.5000000000002</v>
      </c>
      <c r="D75" s="5">
        <f t="shared" si="0"/>
        <v>2930</v>
      </c>
      <c r="F75" s="4">
        <f>Table1[[#This Row],[Girder_kg]]+50+I75+100+250+400</f>
        <v>2920.125</v>
      </c>
      <c r="G75" s="4">
        <f>_xlfn.CEILING.MATH((Table1[[#This Row],[Span_M]]*1000/6),50)</f>
        <v>1850</v>
      </c>
      <c r="H75" s="4">
        <f>_xlfn.CEILING.MATH((Table1[[#This Row],[Span_M]]*1000/58+150),20)</f>
        <v>340</v>
      </c>
      <c r="I75" s="4">
        <f t="shared" si="1"/>
        <v>552.625</v>
      </c>
      <c r="J75" s="4">
        <f t="shared" si="2"/>
        <v>90</v>
      </c>
    </row>
    <row r="76" spans="1:10" ht="16.05" customHeight="1">
      <c r="A76" s="4">
        <v>5000</v>
      </c>
      <c r="B76" s="4">
        <v>12</v>
      </c>
      <c r="C76" s="5">
        <v>1831.5000000000002</v>
      </c>
      <c r="D76" s="5">
        <f t="shared" si="0"/>
        <v>3230</v>
      </c>
      <c r="F76" s="4">
        <f>Table1[[#This Row],[Girder_kg]]+50+I76+100+250+400</f>
        <v>3226.625</v>
      </c>
      <c r="G76" s="4">
        <f>_xlfn.CEILING.MATH((Table1[[#This Row],[Span_M]]*1000/6),50)</f>
        <v>2000</v>
      </c>
      <c r="H76" s="4">
        <f>_xlfn.CEILING.MATH((Table1[[#This Row],[Span_M]]*1000/58+150),20)</f>
        <v>360</v>
      </c>
      <c r="I76" s="4">
        <f t="shared" si="1"/>
        <v>595.125</v>
      </c>
      <c r="J76" s="4">
        <f t="shared" si="2"/>
        <v>95</v>
      </c>
    </row>
    <row r="77" spans="1:10" ht="16.05" customHeight="1">
      <c r="A77" s="4">
        <v>5000</v>
      </c>
      <c r="B77" s="4">
        <v>13</v>
      </c>
      <c r="C77" s="5">
        <v>1870.0000000000002</v>
      </c>
      <c r="D77" s="5">
        <f t="shared" si="0"/>
        <v>3330</v>
      </c>
      <c r="F77" s="4">
        <f>Table1[[#This Row],[Girder_kg]]+50+I77+100+250+400</f>
        <v>3320.125</v>
      </c>
      <c r="G77" s="4">
        <f>_xlfn.CEILING.MATH((Table1[[#This Row],[Span_M]]*1000/6),50)</f>
        <v>2200</v>
      </c>
      <c r="H77" s="4">
        <f>_xlfn.CEILING.MATH((Table1[[#This Row],[Span_M]]*1000/58+150),20)</f>
        <v>380</v>
      </c>
      <c r="I77" s="4">
        <f t="shared" si="1"/>
        <v>650.125</v>
      </c>
      <c r="J77" s="4">
        <f t="shared" si="2"/>
        <v>100</v>
      </c>
    </row>
    <row r="78" spans="1:10" ht="16.05" customHeight="1">
      <c r="A78" s="4">
        <v>5000</v>
      </c>
      <c r="B78" s="4">
        <v>14</v>
      </c>
      <c r="C78" s="5">
        <v>2090</v>
      </c>
      <c r="D78" s="5">
        <f t="shared" si="0"/>
        <v>3590</v>
      </c>
      <c r="F78" s="4">
        <f>Table1[[#This Row],[Girder_kg]]+50+I78+100+250+400</f>
        <v>3582.625</v>
      </c>
      <c r="G78" s="4">
        <f>_xlfn.CEILING.MATH((Table1[[#This Row],[Span_M]]*1000/6),50)</f>
        <v>2350</v>
      </c>
      <c r="H78" s="4">
        <f>_xlfn.CEILING.MATH((Table1[[#This Row],[Span_M]]*1000/58+150),20)</f>
        <v>400</v>
      </c>
      <c r="I78" s="4">
        <f t="shared" si="1"/>
        <v>692.625</v>
      </c>
      <c r="J78" s="4">
        <f t="shared" si="2"/>
        <v>105</v>
      </c>
    </row>
    <row r="79" spans="1:10" ht="16.05" customHeight="1">
      <c r="A79" s="4">
        <v>5000</v>
      </c>
      <c r="B79" s="4">
        <v>15</v>
      </c>
      <c r="C79" s="5">
        <v>2450</v>
      </c>
      <c r="D79" s="5">
        <f t="shared" si="0"/>
        <v>3990</v>
      </c>
      <c r="F79" s="4">
        <f>Table1[[#This Row],[Girder_kg]]+50+I79+100+250+400</f>
        <v>3985.125</v>
      </c>
      <c r="G79" s="4">
        <f>_xlfn.CEILING.MATH((Table1[[#This Row],[Span_M]]*1000/6),50)</f>
        <v>2500</v>
      </c>
      <c r="H79" s="4">
        <f>_xlfn.CEILING.MATH((Table1[[#This Row],[Span_M]]*1000/58+150),20)</f>
        <v>420</v>
      </c>
      <c r="I79" s="4">
        <f t="shared" si="1"/>
        <v>735.125</v>
      </c>
      <c r="J79" s="4">
        <f t="shared" si="2"/>
        <v>110</v>
      </c>
    </row>
    <row r="80" spans="1:10" ht="16.05" customHeight="1">
      <c r="A80" s="4">
        <v>5000</v>
      </c>
      <c r="B80" s="4">
        <v>16</v>
      </c>
      <c r="C80" s="5">
        <v>2660</v>
      </c>
      <c r="D80" s="5">
        <f t="shared" si="0"/>
        <v>4260</v>
      </c>
      <c r="F80" s="4">
        <f>Table1[[#This Row],[Girder_kg]]+50+I80+100+250+400</f>
        <v>4250.125</v>
      </c>
      <c r="G80" s="4">
        <f>_xlfn.CEILING.MATH((Table1[[#This Row],[Span_M]]*1000/6),50)</f>
        <v>2700</v>
      </c>
      <c r="H80" s="4">
        <f>_xlfn.CEILING.MATH((Table1[[#This Row],[Span_M]]*1000/58+150),20)</f>
        <v>440</v>
      </c>
      <c r="I80" s="4">
        <f t="shared" si="1"/>
        <v>790.125</v>
      </c>
      <c r="J80" s="4">
        <f t="shared" si="2"/>
        <v>115</v>
      </c>
    </row>
    <row r="81" spans="1:10" ht="16.05" customHeight="1">
      <c r="A81" s="4">
        <v>5000</v>
      </c>
      <c r="B81" s="4">
        <v>17</v>
      </c>
      <c r="C81" s="5">
        <v>2800</v>
      </c>
      <c r="D81" s="5">
        <f t="shared" si="0"/>
        <v>4440</v>
      </c>
      <c r="F81" s="4">
        <f>Table1[[#This Row],[Girder_kg]]+50+I81+100+250+400</f>
        <v>4432.625</v>
      </c>
      <c r="G81" s="4">
        <f>_xlfn.CEILING.MATH((Table1[[#This Row],[Span_M]]*1000/6),50)</f>
        <v>2850</v>
      </c>
      <c r="H81" s="4">
        <f>_xlfn.CEILING.MATH((Table1[[#This Row],[Span_M]]*1000/58+150),20)</f>
        <v>460</v>
      </c>
      <c r="I81" s="4">
        <f t="shared" si="1"/>
        <v>832.625</v>
      </c>
      <c r="J81" s="4">
        <f t="shared" si="2"/>
        <v>120</v>
      </c>
    </row>
    <row r="82" spans="1:10" ht="16.05" customHeight="1">
      <c r="A82" s="4">
        <v>5000</v>
      </c>
      <c r="B82" s="4">
        <v>18</v>
      </c>
      <c r="C82" s="5">
        <v>3740.0000000000005</v>
      </c>
      <c r="D82" s="5">
        <f t="shared" si="0"/>
        <v>5420</v>
      </c>
      <c r="F82" s="4">
        <f>Table1[[#This Row],[Girder_kg]]+50+I82+100+250+400</f>
        <v>5415.125</v>
      </c>
      <c r="G82" s="4">
        <f>_xlfn.CEILING.MATH((Table1[[#This Row],[Span_M]]*1000/6),50)</f>
        <v>3000</v>
      </c>
      <c r="H82" s="4">
        <f>_xlfn.CEILING.MATH((Table1[[#This Row],[Span_M]]*1000/58+150),20)</f>
        <v>480</v>
      </c>
      <c r="I82" s="4">
        <f t="shared" si="1"/>
        <v>875.125</v>
      </c>
      <c r="J82" s="4">
        <f t="shared" si="2"/>
        <v>125</v>
      </c>
    </row>
    <row r="83" spans="1:10" ht="16.05" customHeight="1">
      <c r="A83" s="4">
        <v>5000</v>
      </c>
      <c r="B83" s="4">
        <v>19</v>
      </c>
      <c r="C83" s="5">
        <v>3960.0000000000005</v>
      </c>
      <c r="D83" s="5">
        <f t="shared" si="0"/>
        <v>5690</v>
      </c>
      <c r="F83" s="4">
        <f>Table1[[#This Row],[Girder_kg]]+50+I83+100+250+400</f>
        <v>5685.125</v>
      </c>
      <c r="G83" s="4">
        <f>_xlfn.CEILING.MATH((Table1[[#This Row],[Span_M]]*1000/6),50)</f>
        <v>3200</v>
      </c>
      <c r="H83" s="4">
        <f>_xlfn.CEILING.MATH((Table1[[#This Row],[Span_M]]*1000/58+150),20)</f>
        <v>480</v>
      </c>
      <c r="I83" s="4">
        <f t="shared" si="1"/>
        <v>925.125</v>
      </c>
      <c r="J83" s="4">
        <f t="shared" si="2"/>
        <v>125</v>
      </c>
    </row>
    <row r="84" spans="1:10" ht="16.05" customHeight="1">
      <c r="A84" s="4">
        <v>5000</v>
      </c>
      <c r="B84" s="4">
        <v>20</v>
      </c>
      <c r="C84" s="4">
        <v>4500</v>
      </c>
      <c r="D84" s="5">
        <f t="shared" si="0"/>
        <v>6270</v>
      </c>
      <c r="F84" s="4">
        <f>Table1[[#This Row],[Girder_kg]]+50+I84+100+250+400</f>
        <v>6267.625</v>
      </c>
      <c r="G84" s="4">
        <f>_xlfn.CEILING.MATH((Table1[[#This Row],[Span_M]]*1000/6),50)</f>
        <v>3350</v>
      </c>
      <c r="H84" s="4">
        <f>_xlfn.CEILING.MATH((Table1[[#This Row],[Span_M]]*1000/58+150),20)</f>
        <v>500</v>
      </c>
      <c r="I84" s="4">
        <f t="shared" si="1"/>
        <v>967.625</v>
      </c>
      <c r="J84" s="4">
        <f t="shared" si="2"/>
        <v>130</v>
      </c>
    </row>
    <row r="85" spans="1:10" ht="16.05" customHeight="1">
      <c r="A85" s="4">
        <v>5000</v>
      </c>
      <c r="B85" s="4">
        <v>21</v>
      </c>
      <c r="C85" s="4">
        <v>4600</v>
      </c>
      <c r="D85" s="5">
        <f t="shared" si="0"/>
        <v>6420</v>
      </c>
      <c r="F85" s="4">
        <f>Table1[[#This Row],[Girder_kg]]+50+I85+100+250+400</f>
        <v>6410.125</v>
      </c>
      <c r="G85" s="4">
        <f>_xlfn.CEILING.MATH((Table1[[#This Row],[Span_M]]*1000/6),50)</f>
        <v>3500</v>
      </c>
      <c r="H85" s="4">
        <f>_xlfn.CEILING.MATH((Table1[[#This Row],[Span_M]]*1000/58+150),20)</f>
        <v>520</v>
      </c>
      <c r="I85" s="4">
        <f t="shared" si="1"/>
        <v>1010.125</v>
      </c>
      <c r="J85" s="4">
        <f t="shared" si="2"/>
        <v>135</v>
      </c>
    </row>
    <row r="86" spans="1:10" ht="16.05" customHeight="1">
      <c r="A86" s="4">
        <v>5000</v>
      </c>
      <c r="B86" s="4">
        <v>22</v>
      </c>
      <c r="C86" s="4">
        <v>5000</v>
      </c>
      <c r="D86" s="5">
        <f t="shared" si="0"/>
        <v>6870</v>
      </c>
      <c r="F86" s="4">
        <f>Table1[[#This Row],[Girder_kg]]+50+I86+100+250+400</f>
        <v>6865.125</v>
      </c>
      <c r="G86" s="4">
        <f>_xlfn.CEILING.MATH((Table1[[#This Row],[Span_M]]*1000/6),50)</f>
        <v>3700</v>
      </c>
      <c r="H86" s="4">
        <f>_xlfn.CEILING.MATH((Table1[[#This Row],[Span_M]]*1000/58+150),20)</f>
        <v>540</v>
      </c>
      <c r="I86" s="4">
        <f t="shared" si="1"/>
        <v>1065.125</v>
      </c>
      <c r="J86" s="4">
        <f t="shared" si="2"/>
        <v>140</v>
      </c>
    </row>
    <row r="87" spans="1:10" ht="16.05" customHeight="1">
      <c r="A87" s="4">
        <v>5000</v>
      </c>
      <c r="B87" s="4">
        <v>23</v>
      </c>
      <c r="C87" s="4">
        <v>6600</v>
      </c>
      <c r="D87" s="5">
        <f t="shared" si="0"/>
        <v>8510</v>
      </c>
      <c r="F87" s="4">
        <f>Table1[[#This Row],[Girder_kg]]+50+I87+100+250+400</f>
        <v>8507.625</v>
      </c>
      <c r="G87" s="4">
        <f>_xlfn.CEILING.MATH((Table1[[#This Row],[Span_M]]*1000/6),50)</f>
        <v>3850</v>
      </c>
      <c r="H87" s="4">
        <f>_xlfn.CEILING.MATH((Table1[[#This Row],[Span_M]]*1000/58+150),20)</f>
        <v>560</v>
      </c>
      <c r="I87" s="4">
        <f t="shared" si="1"/>
        <v>1107.625</v>
      </c>
      <c r="J87" s="4">
        <f t="shared" si="2"/>
        <v>145</v>
      </c>
    </row>
    <row r="88" spans="1:10" ht="16.05" customHeight="1">
      <c r="A88" s="4">
        <v>5000</v>
      </c>
      <c r="B88" s="4">
        <v>24</v>
      </c>
      <c r="C88" s="4">
        <v>5820</v>
      </c>
      <c r="D88" s="5">
        <f t="shared" si="0"/>
        <v>7780</v>
      </c>
      <c r="F88" s="4">
        <f>Table1[[#This Row],[Girder_kg]]+50+I88+100+250+400</f>
        <v>7770.125</v>
      </c>
      <c r="G88" s="4">
        <f>_xlfn.CEILING.MATH((Table1[[#This Row],[Span_M]]*1000/6),50)</f>
        <v>4000</v>
      </c>
      <c r="H88" s="4">
        <f>_xlfn.CEILING.MATH((Table1[[#This Row],[Span_M]]*1000/58+150),20)</f>
        <v>580</v>
      </c>
      <c r="I88" s="4">
        <f t="shared" si="1"/>
        <v>1150.125</v>
      </c>
      <c r="J88" s="4">
        <f t="shared" si="2"/>
        <v>150</v>
      </c>
    </row>
    <row r="89" spans="1:10" ht="16.05" customHeight="1">
      <c r="A89" s="4">
        <v>5000</v>
      </c>
      <c r="B89" s="4">
        <v>25</v>
      </c>
      <c r="C89" s="4">
        <v>6720</v>
      </c>
      <c r="D89" s="5">
        <f t="shared" si="0"/>
        <v>8730</v>
      </c>
      <c r="F89" s="4">
        <f>Table1[[#This Row],[Girder_kg]]+50+I89+100+250+400</f>
        <v>8725.125</v>
      </c>
      <c r="G89" s="4">
        <f>_xlfn.CEILING.MATH((Table1[[#This Row],[Span_M]]*1000/6),50)</f>
        <v>4200</v>
      </c>
      <c r="H89" s="4">
        <f>_xlfn.CEILING.MATH((Table1[[#This Row],[Span_M]]*1000/58+150),20)</f>
        <v>600</v>
      </c>
      <c r="I89" s="4">
        <f t="shared" si="1"/>
        <v>1205.125</v>
      </c>
      <c r="J89" s="4">
        <f t="shared" si="2"/>
        <v>155</v>
      </c>
    </row>
    <row r="90" spans="1:10" ht="16.05" customHeight="1">
      <c r="A90" s="4">
        <v>5000</v>
      </c>
      <c r="B90" s="4">
        <v>28</v>
      </c>
      <c r="C90" s="4">
        <v>9000</v>
      </c>
      <c r="D90" s="5">
        <f t="shared" si="0"/>
        <v>11100</v>
      </c>
      <c r="F90" s="4">
        <f>Table1[[#This Row],[Girder_kg]]+50+I90+100+250+400</f>
        <v>11090.125</v>
      </c>
      <c r="G90" s="4">
        <f>_xlfn.CEILING.MATH((Table1[[#This Row],[Span_M]]*1000/6),50)</f>
        <v>4700</v>
      </c>
      <c r="H90" s="4">
        <f>_xlfn.CEILING.MATH((Table1[[#This Row],[Span_M]]*1000/58+150),20)</f>
        <v>640</v>
      </c>
      <c r="I90" s="4">
        <f t="shared" ref="I90" si="3">(G90+0.5)/1000*250+J90</f>
        <v>1290.125</v>
      </c>
      <c r="J90" s="4">
        <f>_xlfn.CEILING.MATH((16*350*H90*4*7.85/1000000),5)</f>
        <v>115</v>
      </c>
    </row>
    <row r="91" spans="1:10" ht="16.05" customHeight="1">
      <c r="A91" s="4">
        <v>7500</v>
      </c>
      <c r="B91" s="4">
        <v>4</v>
      </c>
      <c r="C91" s="4">
        <v>350</v>
      </c>
      <c r="D91" s="5">
        <f t="shared" ref="D91:D113" si="4">_xlfn.CEILING.MATH(F91,10)</f>
        <v>1390</v>
      </c>
      <c r="F91" s="4">
        <f>Table1[[#This Row],[Girder_kg]]+50+I91+100+250+400</f>
        <v>1385.125</v>
      </c>
      <c r="G91" s="4">
        <f>_xlfn.CEILING.MATH((Table1[[#This Row],[Span_M]]*1000/6),50)</f>
        <v>700</v>
      </c>
      <c r="H91" s="4">
        <f>_xlfn.CEILING.MATH((Table1[[#This Row],[Span_M]]*1000/58+150),20)</f>
        <v>220</v>
      </c>
      <c r="I91" s="4">
        <f t="shared" ref="I91:I112" si="5">(G91+0.5)/1000*250+J91</f>
        <v>235.125</v>
      </c>
      <c r="J91" s="4">
        <f t="shared" ref="J91:J112" si="6">_xlfn.CEILING.MATH((16*500*H91*4*7.85/1000000),5)</f>
        <v>60</v>
      </c>
    </row>
    <row r="92" spans="1:10" ht="16.05" customHeight="1">
      <c r="A92" s="4">
        <v>7500</v>
      </c>
      <c r="B92" s="4">
        <v>5</v>
      </c>
      <c r="C92" s="4">
        <v>500</v>
      </c>
      <c r="D92" s="5">
        <f t="shared" si="4"/>
        <v>1580</v>
      </c>
      <c r="F92" s="4">
        <f>Table1[[#This Row],[Girder_kg]]+50+I92+100+250+400</f>
        <v>1577.625</v>
      </c>
      <c r="G92" s="4">
        <f>_xlfn.CEILING.MATH((Table1[[#This Row],[Span_M]]*1000/6),50)</f>
        <v>850</v>
      </c>
      <c r="H92" s="4">
        <f>_xlfn.CEILING.MATH((Table1[[#This Row],[Span_M]]*1000/58+150),20)</f>
        <v>240</v>
      </c>
      <c r="I92" s="4">
        <f t="shared" si="5"/>
        <v>277.625</v>
      </c>
      <c r="J92" s="4">
        <f t="shared" si="6"/>
        <v>65</v>
      </c>
    </row>
    <row r="93" spans="1:10" ht="16.05" customHeight="1">
      <c r="A93" s="4">
        <v>7500</v>
      </c>
      <c r="B93" s="4">
        <v>6</v>
      </c>
      <c r="C93" s="4">
        <v>700</v>
      </c>
      <c r="D93" s="5">
        <f t="shared" si="4"/>
        <v>1830</v>
      </c>
      <c r="F93" s="4">
        <f>Table1[[#This Row],[Girder_kg]]+50+I93+100+250+400</f>
        <v>1820.125</v>
      </c>
      <c r="G93" s="4">
        <f>_xlfn.CEILING.MATH((Table1[[#This Row],[Span_M]]*1000/6),50)</f>
        <v>1000</v>
      </c>
      <c r="H93" s="4">
        <f>_xlfn.CEILING.MATH((Table1[[#This Row],[Span_M]]*1000/58+150),20)</f>
        <v>260</v>
      </c>
      <c r="I93" s="4">
        <f t="shared" si="5"/>
        <v>320.125</v>
      </c>
      <c r="J93" s="4">
        <f t="shared" si="6"/>
        <v>70</v>
      </c>
    </row>
    <row r="94" spans="1:10" ht="16.05" customHeight="1">
      <c r="A94" s="4">
        <v>7500</v>
      </c>
      <c r="B94" s="4">
        <v>7</v>
      </c>
      <c r="C94" s="4">
        <v>925</v>
      </c>
      <c r="D94" s="5">
        <f t="shared" si="4"/>
        <v>2110</v>
      </c>
      <c r="F94" s="4">
        <f>Table1[[#This Row],[Girder_kg]]+50+I94+100+250+400</f>
        <v>2100.125</v>
      </c>
      <c r="G94" s="4">
        <f>_xlfn.CEILING.MATH((Table1[[#This Row],[Span_M]]*1000/6),50)</f>
        <v>1200</v>
      </c>
      <c r="H94" s="4">
        <f>_xlfn.CEILING.MATH((Table1[[#This Row],[Span_M]]*1000/58+150),20)</f>
        <v>280</v>
      </c>
      <c r="I94" s="4">
        <f t="shared" si="5"/>
        <v>375.125</v>
      </c>
      <c r="J94" s="4">
        <f t="shared" si="6"/>
        <v>75</v>
      </c>
    </row>
    <row r="95" spans="1:10" ht="16.05" customHeight="1">
      <c r="A95" s="4">
        <v>7500</v>
      </c>
      <c r="B95" s="4">
        <v>8</v>
      </c>
      <c r="C95" s="4">
        <v>1100</v>
      </c>
      <c r="D95" s="5">
        <f t="shared" si="4"/>
        <v>2320</v>
      </c>
      <c r="F95" s="4">
        <f>Table1[[#This Row],[Girder_kg]]+50+I95+100+250+400</f>
        <v>2317.625</v>
      </c>
      <c r="G95" s="4">
        <f>_xlfn.CEILING.MATH((Table1[[#This Row],[Span_M]]*1000/6),50)</f>
        <v>1350</v>
      </c>
      <c r="H95" s="4">
        <f>_xlfn.CEILING.MATH((Table1[[#This Row],[Span_M]]*1000/58+150),20)</f>
        <v>300</v>
      </c>
      <c r="I95" s="4">
        <f t="shared" si="5"/>
        <v>417.625</v>
      </c>
      <c r="J95" s="4">
        <f t="shared" si="6"/>
        <v>80</v>
      </c>
    </row>
    <row r="96" spans="1:10" ht="16.05" customHeight="1">
      <c r="A96" s="4">
        <v>7500</v>
      </c>
      <c r="B96" s="4">
        <v>9</v>
      </c>
      <c r="C96" s="4">
        <v>1260</v>
      </c>
      <c r="D96" s="5">
        <f t="shared" si="4"/>
        <v>2530</v>
      </c>
      <c r="F96" s="4">
        <f>Table1[[#This Row],[Girder_kg]]+50+I96+100+250+400</f>
        <v>2520.125</v>
      </c>
      <c r="G96" s="4">
        <f>_xlfn.CEILING.MATH((Table1[[#This Row],[Span_M]]*1000/6),50)</f>
        <v>1500</v>
      </c>
      <c r="H96" s="4">
        <f>_xlfn.CEILING.MATH((Table1[[#This Row],[Span_M]]*1000/58+150),20)</f>
        <v>320</v>
      </c>
      <c r="I96" s="4">
        <f t="shared" si="5"/>
        <v>460.125</v>
      </c>
      <c r="J96" s="4">
        <f t="shared" si="6"/>
        <v>85</v>
      </c>
    </row>
    <row r="97" spans="1:10" ht="16.05" customHeight="1">
      <c r="A97" s="4">
        <v>7500</v>
      </c>
      <c r="B97" s="4">
        <v>10</v>
      </c>
      <c r="C97" s="5">
        <v>1661.0000000000002</v>
      </c>
      <c r="D97" s="5">
        <f t="shared" si="4"/>
        <v>2980</v>
      </c>
      <c r="F97" s="4">
        <f>Table1[[#This Row],[Girder_kg]]+50+I97+100+250+400</f>
        <v>2976.125</v>
      </c>
      <c r="G97" s="4">
        <f>_xlfn.CEILING.MATH((Table1[[#This Row],[Span_M]]*1000/6),50)</f>
        <v>1700</v>
      </c>
      <c r="H97" s="4">
        <f>_xlfn.CEILING.MATH((Table1[[#This Row],[Span_M]]*1000/58+150),20)</f>
        <v>340</v>
      </c>
      <c r="I97" s="4">
        <f t="shared" si="5"/>
        <v>515.125</v>
      </c>
      <c r="J97" s="4">
        <f t="shared" si="6"/>
        <v>90</v>
      </c>
    </row>
    <row r="98" spans="1:10" ht="16.05" customHeight="1">
      <c r="A98" s="4">
        <v>7500</v>
      </c>
      <c r="B98" s="4">
        <v>11</v>
      </c>
      <c r="C98" s="5">
        <v>1925.0000000000002</v>
      </c>
      <c r="D98" s="5">
        <f t="shared" si="4"/>
        <v>3280</v>
      </c>
      <c r="F98" s="4">
        <f>Table1[[#This Row],[Girder_kg]]+50+I98+100+250+400</f>
        <v>3277.625</v>
      </c>
      <c r="G98" s="4">
        <f>_xlfn.CEILING.MATH((Table1[[#This Row],[Span_M]]*1000/6),50)</f>
        <v>1850</v>
      </c>
      <c r="H98" s="4">
        <f>_xlfn.CEILING.MATH((Table1[[#This Row],[Span_M]]*1000/58+150),20)</f>
        <v>340</v>
      </c>
      <c r="I98" s="4">
        <f t="shared" si="5"/>
        <v>552.625</v>
      </c>
      <c r="J98" s="4">
        <f t="shared" si="6"/>
        <v>90</v>
      </c>
    </row>
    <row r="99" spans="1:10" ht="16.05" customHeight="1">
      <c r="A99" s="4">
        <v>7500</v>
      </c>
      <c r="B99" s="4">
        <v>12</v>
      </c>
      <c r="C99" s="5">
        <v>2200</v>
      </c>
      <c r="D99" s="5">
        <f t="shared" si="4"/>
        <v>3600</v>
      </c>
      <c r="F99" s="4">
        <f>Table1[[#This Row],[Girder_kg]]+50+I99+100+250+400</f>
        <v>3595.125</v>
      </c>
      <c r="G99" s="4">
        <f>_xlfn.CEILING.MATH((Table1[[#This Row],[Span_M]]*1000/6),50)</f>
        <v>2000</v>
      </c>
      <c r="H99" s="4">
        <f>_xlfn.CEILING.MATH((Table1[[#This Row],[Span_M]]*1000/58+150),20)</f>
        <v>360</v>
      </c>
      <c r="I99" s="4">
        <f t="shared" si="5"/>
        <v>595.125</v>
      </c>
      <c r="J99" s="4">
        <f t="shared" si="6"/>
        <v>95</v>
      </c>
    </row>
    <row r="100" spans="1:10" ht="16.05" customHeight="1">
      <c r="A100" s="4">
        <v>7500</v>
      </c>
      <c r="B100" s="4">
        <v>13</v>
      </c>
      <c r="C100" s="5">
        <v>2530</v>
      </c>
      <c r="D100" s="5">
        <f t="shared" si="4"/>
        <v>3990</v>
      </c>
      <c r="F100" s="4">
        <f>Table1[[#This Row],[Girder_kg]]+50+I100+100+250+400</f>
        <v>3980.125</v>
      </c>
      <c r="G100" s="4">
        <f>_xlfn.CEILING.MATH((Table1[[#This Row],[Span_M]]*1000/6),50)</f>
        <v>2200</v>
      </c>
      <c r="H100" s="4">
        <f>_xlfn.CEILING.MATH((Table1[[#This Row],[Span_M]]*1000/58+150),20)</f>
        <v>380</v>
      </c>
      <c r="I100" s="4">
        <f t="shared" si="5"/>
        <v>650.125</v>
      </c>
      <c r="J100" s="4">
        <f t="shared" si="6"/>
        <v>100</v>
      </c>
    </row>
    <row r="101" spans="1:10" ht="16.05" customHeight="1">
      <c r="A101" s="4">
        <v>7500</v>
      </c>
      <c r="B101" s="4">
        <v>14</v>
      </c>
      <c r="C101" s="5">
        <v>2860.0000000000005</v>
      </c>
      <c r="D101" s="5">
        <f t="shared" si="4"/>
        <v>4360</v>
      </c>
      <c r="F101" s="4">
        <f>Table1[[#This Row],[Girder_kg]]+50+I101+100+250+400</f>
        <v>4352.625</v>
      </c>
      <c r="G101" s="4">
        <f>_xlfn.CEILING.MATH((Table1[[#This Row],[Span_M]]*1000/6),50)</f>
        <v>2350</v>
      </c>
      <c r="H101" s="4">
        <f>_xlfn.CEILING.MATH((Table1[[#This Row],[Span_M]]*1000/58+150),20)</f>
        <v>400</v>
      </c>
      <c r="I101" s="4">
        <f t="shared" si="5"/>
        <v>692.625</v>
      </c>
      <c r="J101" s="4">
        <f t="shared" si="6"/>
        <v>105</v>
      </c>
    </row>
    <row r="102" spans="1:10" ht="16.05" customHeight="1">
      <c r="A102" s="4">
        <v>7500</v>
      </c>
      <c r="B102" s="4">
        <v>15</v>
      </c>
      <c r="C102" s="5">
        <v>3162.5000000000005</v>
      </c>
      <c r="D102" s="5">
        <f t="shared" si="4"/>
        <v>4700</v>
      </c>
      <c r="F102" s="4">
        <f>Table1[[#This Row],[Girder_kg]]+50+I102+100+250+400</f>
        <v>4697.625</v>
      </c>
      <c r="G102" s="4">
        <f>_xlfn.CEILING.MATH((Table1[[#This Row],[Span_M]]*1000/6),50)</f>
        <v>2500</v>
      </c>
      <c r="H102" s="4">
        <f>_xlfn.CEILING.MATH((Table1[[#This Row],[Span_M]]*1000/58+150),20)</f>
        <v>420</v>
      </c>
      <c r="I102" s="4">
        <f t="shared" si="5"/>
        <v>735.125</v>
      </c>
      <c r="J102" s="4">
        <f t="shared" si="6"/>
        <v>110</v>
      </c>
    </row>
    <row r="103" spans="1:10" ht="16.05" customHeight="1">
      <c r="A103" s="4">
        <v>7500</v>
      </c>
      <c r="B103" s="4">
        <v>16</v>
      </c>
      <c r="C103" s="5">
        <v>3476.0000000000005</v>
      </c>
      <c r="D103" s="5">
        <f t="shared" si="4"/>
        <v>5070</v>
      </c>
      <c r="F103" s="4">
        <f>Table1[[#This Row],[Girder_kg]]+50+I103+100+250+400</f>
        <v>5066.125</v>
      </c>
      <c r="G103" s="4">
        <f>_xlfn.CEILING.MATH((Table1[[#This Row],[Span_M]]*1000/6),50)</f>
        <v>2700</v>
      </c>
      <c r="H103" s="4">
        <f>_xlfn.CEILING.MATH((Table1[[#This Row],[Span_M]]*1000/58+150),20)</f>
        <v>440</v>
      </c>
      <c r="I103" s="4">
        <f t="shared" si="5"/>
        <v>790.125</v>
      </c>
      <c r="J103" s="4">
        <f t="shared" si="6"/>
        <v>115</v>
      </c>
    </row>
    <row r="104" spans="1:10" ht="16.05" customHeight="1">
      <c r="A104" s="4">
        <v>7500</v>
      </c>
      <c r="B104" s="4">
        <v>17</v>
      </c>
      <c r="C104" s="5">
        <v>3685.0000000000005</v>
      </c>
      <c r="D104" s="5">
        <f t="shared" si="4"/>
        <v>5320</v>
      </c>
      <c r="F104" s="4">
        <f>Table1[[#This Row],[Girder_kg]]+50+I104+100+250+400</f>
        <v>5317.625</v>
      </c>
      <c r="G104" s="4">
        <f>_xlfn.CEILING.MATH((Table1[[#This Row],[Span_M]]*1000/6),50)</f>
        <v>2850</v>
      </c>
      <c r="H104" s="4">
        <f>_xlfn.CEILING.MATH((Table1[[#This Row],[Span_M]]*1000/58+150),20)</f>
        <v>460</v>
      </c>
      <c r="I104" s="4">
        <f t="shared" si="5"/>
        <v>832.625</v>
      </c>
      <c r="J104" s="4">
        <f t="shared" si="6"/>
        <v>120</v>
      </c>
    </row>
    <row r="105" spans="1:10" ht="16.05" customHeight="1">
      <c r="A105" s="4">
        <v>7500</v>
      </c>
      <c r="B105" s="4">
        <v>18</v>
      </c>
      <c r="C105" s="5">
        <v>4152.5</v>
      </c>
      <c r="D105" s="5">
        <f t="shared" si="4"/>
        <v>5830</v>
      </c>
      <c r="F105" s="4">
        <f>Table1[[#This Row],[Girder_kg]]+50+I105+100+250+400</f>
        <v>5827.625</v>
      </c>
      <c r="G105" s="4">
        <f>_xlfn.CEILING.MATH((Table1[[#This Row],[Span_M]]*1000/6),50)</f>
        <v>3000</v>
      </c>
      <c r="H105" s="4">
        <f>_xlfn.CEILING.MATH((Table1[[#This Row],[Span_M]]*1000/58+150),20)</f>
        <v>480</v>
      </c>
      <c r="I105" s="4">
        <f t="shared" si="5"/>
        <v>875.125</v>
      </c>
      <c r="J105" s="4">
        <f t="shared" si="6"/>
        <v>125</v>
      </c>
    </row>
    <row r="106" spans="1:10" ht="16.05" customHeight="1">
      <c r="A106" s="4">
        <v>7500</v>
      </c>
      <c r="B106" s="4">
        <v>19</v>
      </c>
      <c r="C106" s="5">
        <v>4675</v>
      </c>
      <c r="D106" s="5">
        <f t="shared" si="4"/>
        <v>6410</v>
      </c>
      <c r="F106" s="4">
        <f>Table1[[#This Row],[Girder_kg]]+50+I106+100+250+400</f>
        <v>6400.125</v>
      </c>
      <c r="G106" s="4">
        <f>_xlfn.CEILING.MATH((Table1[[#This Row],[Span_M]]*1000/6),50)</f>
        <v>3200</v>
      </c>
      <c r="H106" s="4">
        <f>_xlfn.CEILING.MATH((Table1[[#This Row],[Span_M]]*1000/58+150),20)</f>
        <v>480</v>
      </c>
      <c r="I106" s="4">
        <f t="shared" si="5"/>
        <v>925.125</v>
      </c>
      <c r="J106" s="4">
        <f t="shared" si="6"/>
        <v>125</v>
      </c>
    </row>
    <row r="107" spans="1:10" ht="16.05" customHeight="1">
      <c r="A107" s="4">
        <v>7500</v>
      </c>
      <c r="B107" s="4">
        <v>20</v>
      </c>
      <c r="C107" s="4">
        <v>5400</v>
      </c>
      <c r="D107" s="5">
        <f t="shared" si="4"/>
        <v>7170</v>
      </c>
      <c r="F107" s="4">
        <f>Table1[[#This Row],[Girder_kg]]+50+I107+100+250+400</f>
        <v>7167.625</v>
      </c>
      <c r="G107" s="4">
        <f>_xlfn.CEILING.MATH((Table1[[#This Row],[Span_M]]*1000/6),50)</f>
        <v>3350</v>
      </c>
      <c r="H107" s="4">
        <f>_xlfn.CEILING.MATH((Table1[[#This Row],[Span_M]]*1000/58+150),20)</f>
        <v>500</v>
      </c>
      <c r="I107" s="4">
        <f t="shared" si="5"/>
        <v>967.625</v>
      </c>
      <c r="J107" s="4">
        <f t="shared" si="6"/>
        <v>130</v>
      </c>
    </row>
    <row r="108" spans="1:10" ht="16.05" customHeight="1">
      <c r="A108" s="4">
        <v>7500</v>
      </c>
      <c r="B108" s="4">
        <v>21</v>
      </c>
      <c r="C108" s="4">
        <v>5760</v>
      </c>
      <c r="D108" s="5">
        <f t="shared" si="4"/>
        <v>7580</v>
      </c>
      <c r="F108" s="4">
        <f>Table1[[#This Row],[Girder_kg]]+50+I108+100+250+400</f>
        <v>7570.125</v>
      </c>
      <c r="G108" s="4">
        <f>_xlfn.CEILING.MATH((Table1[[#This Row],[Span_M]]*1000/6),50)</f>
        <v>3500</v>
      </c>
      <c r="H108" s="4">
        <f>_xlfn.CEILING.MATH((Table1[[#This Row],[Span_M]]*1000/58+150),20)</f>
        <v>520</v>
      </c>
      <c r="I108" s="4">
        <f t="shared" si="5"/>
        <v>1010.125</v>
      </c>
      <c r="J108" s="4">
        <f t="shared" si="6"/>
        <v>135</v>
      </c>
    </row>
    <row r="109" spans="1:10" ht="16.05" customHeight="1">
      <c r="A109" s="4">
        <v>7500</v>
      </c>
      <c r="B109" s="4">
        <v>22</v>
      </c>
      <c r="C109" s="4">
        <v>6240</v>
      </c>
      <c r="D109" s="5">
        <f t="shared" si="4"/>
        <v>8110</v>
      </c>
      <c r="F109" s="4">
        <f>Table1[[#This Row],[Girder_kg]]+50+I109+100+250+400</f>
        <v>8105.125</v>
      </c>
      <c r="G109" s="4">
        <f>_xlfn.CEILING.MATH((Table1[[#This Row],[Span_M]]*1000/6),50)</f>
        <v>3700</v>
      </c>
      <c r="H109" s="4">
        <f>_xlfn.CEILING.MATH((Table1[[#This Row],[Span_M]]*1000/58+150),20)</f>
        <v>540</v>
      </c>
      <c r="I109" s="4">
        <f t="shared" si="5"/>
        <v>1065.125</v>
      </c>
      <c r="J109" s="4">
        <f t="shared" si="6"/>
        <v>140</v>
      </c>
    </row>
    <row r="110" spans="1:10" ht="16.05" customHeight="1">
      <c r="A110" s="4">
        <v>7500</v>
      </c>
      <c r="B110" s="4">
        <v>23</v>
      </c>
      <c r="C110" s="4">
        <v>6630</v>
      </c>
      <c r="D110" s="5">
        <f t="shared" si="4"/>
        <v>8540</v>
      </c>
      <c r="F110" s="4">
        <f>Table1[[#This Row],[Girder_kg]]+50+I110+100+250+400</f>
        <v>8537.625</v>
      </c>
      <c r="G110" s="4">
        <f>_xlfn.CEILING.MATH((Table1[[#This Row],[Span_M]]*1000/6),50)</f>
        <v>3850</v>
      </c>
      <c r="H110" s="4">
        <f>_xlfn.CEILING.MATH((Table1[[#This Row],[Span_M]]*1000/58+150),20)</f>
        <v>560</v>
      </c>
      <c r="I110" s="4">
        <f t="shared" si="5"/>
        <v>1107.625</v>
      </c>
      <c r="J110" s="4">
        <f t="shared" si="6"/>
        <v>145</v>
      </c>
    </row>
    <row r="111" spans="1:10" ht="16.05" customHeight="1">
      <c r="A111" s="4">
        <v>7500</v>
      </c>
      <c r="B111" s="4">
        <v>24</v>
      </c>
      <c r="C111" s="4">
        <v>7200</v>
      </c>
      <c r="D111" s="5">
        <f t="shared" si="4"/>
        <v>9160</v>
      </c>
      <c r="F111" s="4">
        <f>Table1[[#This Row],[Girder_kg]]+50+I111+100+250+400</f>
        <v>9150.125</v>
      </c>
      <c r="G111" s="4">
        <f>_xlfn.CEILING.MATH((Table1[[#This Row],[Span_M]]*1000/6),50)</f>
        <v>4000</v>
      </c>
      <c r="H111" s="4">
        <f>_xlfn.CEILING.MATH((Table1[[#This Row],[Span_M]]*1000/58+150),20)</f>
        <v>580</v>
      </c>
      <c r="I111" s="4">
        <f t="shared" si="5"/>
        <v>1150.125</v>
      </c>
      <c r="J111" s="4">
        <f t="shared" si="6"/>
        <v>150</v>
      </c>
    </row>
    <row r="112" spans="1:10" ht="16.05" customHeight="1">
      <c r="A112" s="4">
        <v>7500</v>
      </c>
      <c r="B112" s="4">
        <v>25</v>
      </c>
      <c r="C112" s="4">
        <v>7764</v>
      </c>
      <c r="D112" s="5">
        <f t="shared" si="4"/>
        <v>9770</v>
      </c>
      <c r="F112" s="4">
        <f>Table1[[#This Row],[Girder_kg]]+50+I112+100+250+400</f>
        <v>9769.125</v>
      </c>
      <c r="G112" s="4">
        <f>_xlfn.CEILING.MATH((Table1[[#This Row],[Span_M]]*1000/6),50)</f>
        <v>4200</v>
      </c>
      <c r="H112" s="4">
        <f>_xlfn.CEILING.MATH((Table1[[#This Row],[Span_M]]*1000/58+150),20)</f>
        <v>600</v>
      </c>
      <c r="I112" s="4">
        <f t="shared" si="5"/>
        <v>1205.125</v>
      </c>
      <c r="J112" s="4">
        <f t="shared" si="6"/>
        <v>155</v>
      </c>
    </row>
    <row r="113" spans="1:10" ht="16.05" customHeight="1">
      <c r="A113" s="4">
        <v>7500</v>
      </c>
      <c r="B113" s="4">
        <v>28</v>
      </c>
      <c r="C113" s="4">
        <v>10000</v>
      </c>
      <c r="D113" s="5">
        <f t="shared" si="4"/>
        <v>12150</v>
      </c>
      <c r="F113" s="4">
        <f>Table1[[#This Row],[Girder_kg]]+50+I113+100+250+400</f>
        <v>12140.125</v>
      </c>
      <c r="G113" s="4">
        <f>_xlfn.CEILING.MATH((Table1[[#This Row],[Span_M]]*1000/6),50)</f>
        <v>4700</v>
      </c>
      <c r="H113" s="4">
        <f>_xlfn.CEILING.MATH((Table1[[#This Row],[Span_M]]*1000/58+150),20)</f>
        <v>640</v>
      </c>
      <c r="I113" s="4">
        <f t="shared" ref="I113" si="7">(G113+0.5)/1000*250+J113</f>
        <v>1340.125</v>
      </c>
      <c r="J113" s="4">
        <f>_xlfn.CEILING.MATH((16*500*H113*4*7.85/1000000),5)</f>
        <v>165</v>
      </c>
    </row>
    <row r="114" spans="1:10" ht="16.05" customHeight="1">
      <c r="A114" s="4">
        <v>10000</v>
      </c>
      <c r="B114" s="4">
        <v>4</v>
      </c>
      <c r="C114" s="4">
        <v>500</v>
      </c>
      <c r="D114" s="5">
        <f>_xlfn.CEILING.MATH(F114,10)</f>
        <v>1520</v>
      </c>
      <c r="F114" s="4">
        <f>Table1[[#This Row],[Girder_kg]]+50+I114+100+250+400</f>
        <v>1515.125</v>
      </c>
      <c r="G114" s="4">
        <f>_xlfn.CEILING.MATH((Table1[[#This Row],[Span_M]]*1000/6),50)</f>
        <v>700</v>
      </c>
      <c r="H114" s="4">
        <f>_xlfn.CEILING.MATH((Table1[[#This Row],[Span_M]]*1000/58+150),20)</f>
        <v>220</v>
      </c>
      <c r="I114" s="4">
        <f t="shared" ref="I114:I136" si="8">(G114+0.5)/1000*250+J114</f>
        <v>215.125</v>
      </c>
      <c r="J114" s="4">
        <f t="shared" ref="J114:J124" si="9">_xlfn.CEILING.MATH((16*350*H114*4*7.85/1000000),5)</f>
        <v>40</v>
      </c>
    </row>
    <row r="115" spans="1:10" ht="16.05" customHeight="1">
      <c r="A115" s="4">
        <v>10000</v>
      </c>
      <c r="B115" s="4">
        <v>5</v>
      </c>
      <c r="C115" s="4">
        <v>625</v>
      </c>
      <c r="D115" s="5">
        <f t="shared" ref="D115:D137" si="10">_xlfn.CEILING.MATH(F115,10)</f>
        <v>1690</v>
      </c>
      <c r="F115" s="4">
        <f>Table1[[#This Row],[Girder_kg]]+50+I115+100+250+400</f>
        <v>1682.625</v>
      </c>
      <c r="G115" s="4">
        <f>_xlfn.CEILING.MATH((Table1[[#This Row],[Span_M]]*1000/6),50)</f>
        <v>850</v>
      </c>
      <c r="H115" s="4">
        <f>_xlfn.CEILING.MATH((Table1[[#This Row],[Span_M]]*1000/58+150),20)</f>
        <v>240</v>
      </c>
      <c r="I115" s="4">
        <f t="shared" si="8"/>
        <v>257.625</v>
      </c>
      <c r="J115" s="4">
        <f t="shared" si="9"/>
        <v>45</v>
      </c>
    </row>
    <row r="116" spans="1:10" ht="16.05" customHeight="1">
      <c r="A116" s="4">
        <v>10000</v>
      </c>
      <c r="B116" s="4">
        <v>6</v>
      </c>
      <c r="C116" s="4">
        <v>830</v>
      </c>
      <c r="D116" s="5">
        <f t="shared" si="10"/>
        <v>1940</v>
      </c>
      <c r="F116" s="4">
        <f>Table1[[#This Row],[Girder_kg]]+50+I116+100+250+400</f>
        <v>1930.125</v>
      </c>
      <c r="G116" s="4">
        <f>_xlfn.CEILING.MATH((Table1[[#This Row],[Span_M]]*1000/6),50)</f>
        <v>1000</v>
      </c>
      <c r="H116" s="4">
        <f>_xlfn.CEILING.MATH((Table1[[#This Row],[Span_M]]*1000/58+150),20)</f>
        <v>260</v>
      </c>
      <c r="I116" s="4">
        <f t="shared" si="8"/>
        <v>300.125</v>
      </c>
      <c r="J116" s="4">
        <f t="shared" si="9"/>
        <v>50</v>
      </c>
    </row>
    <row r="117" spans="1:10" ht="16.05" customHeight="1">
      <c r="A117" s="4">
        <v>10000</v>
      </c>
      <c r="B117" s="4">
        <v>7</v>
      </c>
      <c r="C117" s="4">
        <v>1025</v>
      </c>
      <c r="D117" s="5">
        <f t="shared" si="10"/>
        <v>2180</v>
      </c>
      <c r="F117" s="4">
        <f>Table1[[#This Row],[Girder_kg]]+50+I117+100+250+400</f>
        <v>2175.125</v>
      </c>
      <c r="G117" s="4">
        <f>_xlfn.CEILING.MATH((Table1[[#This Row],[Span_M]]*1000/6),50)</f>
        <v>1200</v>
      </c>
      <c r="H117" s="4">
        <f>_xlfn.CEILING.MATH((Table1[[#This Row],[Span_M]]*1000/58+150),20)</f>
        <v>280</v>
      </c>
      <c r="I117" s="4">
        <f t="shared" si="8"/>
        <v>350.125</v>
      </c>
      <c r="J117" s="4">
        <f t="shared" si="9"/>
        <v>50</v>
      </c>
    </row>
    <row r="118" spans="1:10" ht="16.05" customHeight="1">
      <c r="A118" s="4">
        <v>10000</v>
      </c>
      <c r="B118" s="4">
        <v>8</v>
      </c>
      <c r="C118" s="4">
        <v>1130</v>
      </c>
      <c r="D118" s="5">
        <f t="shared" si="10"/>
        <v>2330</v>
      </c>
      <c r="F118" s="4">
        <f>Table1[[#This Row],[Girder_kg]]+50+I118+100+250+400</f>
        <v>2322.625</v>
      </c>
      <c r="G118" s="4">
        <f>_xlfn.CEILING.MATH((Table1[[#This Row],[Span_M]]*1000/6),50)</f>
        <v>1350</v>
      </c>
      <c r="H118" s="4">
        <f>_xlfn.CEILING.MATH((Table1[[#This Row],[Span_M]]*1000/58+150),20)</f>
        <v>300</v>
      </c>
      <c r="I118" s="4">
        <f t="shared" si="8"/>
        <v>392.625</v>
      </c>
      <c r="J118" s="4">
        <f t="shared" si="9"/>
        <v>55</v>
      </c>
    </row>
    <row r="119" spans="1:10" ht="16.05" customHeight="1">
      <c r="A119" s="4">
        <v>10000</v>
      </c>
      <c r="B119" s="4">
        <v>9</v>
      </c>
      <c r="C119" s="4">
        <v>1500</v>
      </c>
      <c r="D119" s="5">
        <f t="shared" si="10"/>
        <v>2740</v>
      </c>
      <c r="F119" s="4">
        <f>Table1[[#This Row],[Girder_kg]]+50+I119+100+250+400</f>
        <v>2735.125</v>
      </c>
      <c r="G119" s="4">
        <f>_xlfn.CEILING.MATH((Table1[[#This Row],[Span_M]]*1000/6),50)</f>
        <v>1500</v>
      </c>
      <c r="H119" s="4">
        <f>_xlfn.CEILING.MATH((Table1[[#This Row],[Span_M]]*1000/58+150),20)</f>
        <v>320</v>
      </c>
      <c r="I119" s="4">
        <f t="shared" si="8"/>
        <v>435.125</v>
      </c>
      <c r="J119" s="4">
        <f t="shared" si="9"/>
        <v>60</v>
      </c>
    </row>
    <row r="120" spans="1:10" ht="16.05" customHeight="1">
      <c r="A120" s="4">
        <v>10000</v>
      </c>
      <c r="B120" s="4">
        <v>10</v>
      </c>
      <c r="C120" s="5">
        <v>1963.5000000000002</v>
      </c>
      <c r="D120" s="5">
        <f t="shared" si="10"/>
        <v>3250</v>
      </c>
      <c r="F120" s="4">
        <f>Table1[[#This Row],[Girder_kg]]+50+I120+100+250+400</f>
        <v>3248.625</v>
      </c>
      <c r="G120" s="4">
        <f>_xlfn.CEILING.MATH((Table1[[#This Row],[Span_M]]*1000/6),50)</f>
        <v>1700</v>
      </c>
      <c r="H120" s="4">
        <f>_xlfn.CEILING.MATH((Table1[[#This Row],[Span_M]]*1000/58+150),20)</f>
        <v>340</v>
      </c>
      <c r="I120" s="4">
        <f t="shared" si="8"/>
        <v>485.125</v>
      </c>
      <c r="J120" s="4">
        <f t="shared" si="9"/>
        <v>60</v>
      </c>
    </row>
    <row r="121" spans="1:10" ht="16.05" customHeight="1">
      <c r="A121" s="4">
        <v>10000</v>
      </c>
      <c r="B121" s="4">
        <v>11</v>
      </c>
      <c r="C121" s="5">
        <v>2227.5</v>
      </c>
      <c r="D121" s="5">
        <f t="shared" si="10"/>
        <v>3560</v>
      </c>
      <c r="F121" s="4">
        <f>Table1[[#This Row],[Girder_kg]]+50+I121+100+250+400</f>
        <v>3550.125</v>
      </c>
      <c r="G121" s="4">
        <f>_xlfn.CEILING.MATH((Table1[[#This Row],[Span_M]]*1000/6),50)</f>
        <v>1850</v>
      </c>
      <c r="H121" s="4">
        <f>_xlfn.CEILING.MATH((Table1[[#This Row],[Span_M]]*1000/58+150),20)</f>
        <v>340</v>
      </c>
      <c r="I121" s="4">
        <f t="shared" si="8"/>
        <v>522.625</v>
      </c>
      <c r="J121" s="4">
        <f t="shared" si="9"/>
        <v>60</v>
      </c>
    </row>
    <row r="122" spans="1:10" ht="16.05" customHeight="1">
      <c r="A122" s="4">
        <v>10000</v>
      </c>
      <c r="B122" s="4">
        <v>12</v>
      </c>
      <c r="C122" s="5">
        <v>2552</v>
      </c>
      <c r="D122" s="5">
        <f t="shared" si="10"/>
        <v>3920</v>
      </c>
      <c r="F122" s="4">
        <f>Table1[[#This Row],[Girder_kg]]+50+I122+100+250+400</f>
        <v>3917.125</v>
      </c>
      <c r="G122" s="4">
        <f>_xlfn.CEILING.MATH((Table1[[#This Row],[Span_M]]*1000/6),50)</f>
        <v>2000</v>
      </c>
      <c r="H122" s="4">
        <f>_xlfn.CEILING.MATH((Table1[[#This Row],[Span_M]]*1000/58+150),20)</f>
        <v>360</v>
      </c>
      <c r="I122" s="4">
        <f t="shared" si="8"/>
        <v>565.125</v>
      </c>
      <c r="J122" s="4">
        <f t="shared" si="9"/>
        <v>65</v>
      </c>
    </row>
    <row r="123" spans="1:10" ht="16.05" customHeight="1">
      <c r="A123" s="4">
        <v>10000</v>
      </c>
      <c r="B123" s="4">
        <v>13</v>
      </c>
      <c r="C123" s="5">
        <v>2805</v>
      </c>
      <c r="D123" s="5">
        <f t="shared" si="10"/>
        <v>4230</v>
      </c>
      <c r="F123" s="4">
        <f>Table1[[#This Row],[Girder_kg]]+50+I123+100+250+400</f>
        <v>4225.125</v>
      </c>
      <c r="G123" s="4">
        <f>_xlfn.CEILING.MATH((Table1[[#This Row],[Span_M]]*1000/6),50)</f>
        <v>2200</v>
      </c>
      <c r="H123" s="4">
        <f>_xlfn.CEILING.MATH((Table1[[#This Row],[Span_M]]*1000/58+150),20)</f>
        <v>380</v>
      </c>
      <c r="I123" s="4">
        <f t="shared" si="8"/>
        <v>620.125</v>
      </c>
      <c r="J123" s="4">
        <f t="shared" si="9"/>
        <v>70</v>
      </c>
    </row>
    <row r="124" spans="1:10" ht="16.05" customHeight="1">
      <c r="A124" s="4">
        <v>10000</v>
      </c>
      <c r="B124" s="4">
        <v>14</v>
      </c>
      <c r="C124" s="5">
        <v>3256.0000000000005</v>
      </c>
      <c r="D124" s="5">
        <f t="shared" si="10"/>
        <v>4720</v>
      </c>
      <c r="F124" s="4">
        <f>Table1[[#This Row],[Girder_kg]]+50+I124+100+250+400</f>
        <v>4718.625</v>
      </c>
      <c r="G124" s="4">
        <f>_xlfn.CEILING.MATH((Table1[[#This Row],[Span_M]]*1000/6),50)</f>
        <v>2350</v>
      </c>
      <c r="H124" s="4">
        <f>_xlfn.CEILING.MATH((Table1[[#This Row],[Span_M]]*1000/58+150),20)</f>
        <v>400</v>
      </c>
      <c r="I124" s="4">
        <f t="shared" si="8"/>
        <v>662.625</v>
      </c>
      <c r="J124" s="4">
        <f t="shared" si="9"/>
        <v>75</v>
      </c>
    </row>
    <row r="125" spans="1:10" ht="16.05" customHeight="1">
      <c r="A125" s="4">
        <v>10000</v>
      </c>
      <c r="B125" s="4">
        <v>15</v>
      </c>
      <c r="C125" s="5">
        <v>3740.0000000000005</v>
      </c>
      <c r="D125" s="5">
        <f t="shared" si="10"/>
        <v>5280</v>
      </c>
      <c r="F125" s="4">
        <f>Table1[[#This Row],[Girder_kg]]+50+I125+100+250+400</f>
        <v>5275.125</v>
      </c>
      <c r="G125" s="4">
        <f>_xlfn.CEILING.MATH((Table1[[#This Row],[Span_M]]*1000/6),50)</f>
        <v>2500</v>
      </c>
      <c r="H125" s="4">
        <f>_xlfn.CEILING.MATH((Table1[[#This Row],[Span_M]]*1000/58+150),20)</f>
        <v>420</v>
      </c>
      <c r="I125" s="4">
        <f t="shared" si="8"/>
        <v>735.125</v>
      </c>
      <c r="J125" s="4">
        <f>_xlfn.CEILING.MATH((16*500*H125*4*7.85/1000000),5)</f>
        <v>110</v>
      </c>
    </row>
    <row r="126" spans="1:10" ht="16.05" customHeight="1">
      <c r="A126" s="4">
        <v>10000</v>
      </c>
      <c r="B126" s="4">
        <v>16</v>
      </c>
      <c r="C126" s="5">
        <v>3960.0000000000005</v>
      </c>
      <c r="D126" s="5">
        <f t="shared" si="10"/>
        <v>5560</v>
      </c>
      <c r="F126" s="4">
        <f>Table1[[#This Row],[Girder_kg]]+50+I126+100+250+400</f>
        <v>5550.125</v>
      </c>
      <c r="G126" s="4">
        <f>_xlfn.CEILING.MATH((Table1[[#This Row],[Span_M]]*1000/6),50)</f>
        <v>2700</v>
      </c>
      <c r="H126" s="4">
        <f>_xlfn.CEILING.MATH((Table1[[#This Row],[Span_M]]*1000/58+150),20)</f>
        <v>440</v>
      </c>
      <c r="I126" s="4">
        <f t="shared" si="8"/>
        <v>790.125</v>
      </c>
      <c r="J126" s="4">
        <f t="shared" ref="J126:J137" si="11">_xlfn.CEILING.MATH((16*500*H126*4*7.85/1000000),5)</f>
        <v>115</v>
      </c>
    </row>
    <row r="127" spans="1:10" ht="16.05" customHeight="1">
      <c r="A127" s="4">
        <v>10000</v>
      </c>
      <c r="B127" s="4">
        <v>17</v>
      </c>
      <c r="C127" s="5">
        <v>4290</v>
      </c>
      <c r="D127" s="5">
        <f t="shared" si="10"/>
        <v>5930</v>
      </c>
      <c r="F127" s="4">
        <f>Table1[[#This Row],[Girder_kg]]+50+I127+100+250+400</f>
        <v>5922.625</v>
      </c>
      <c r="G127" s="4">
        <f>_xlfn.CEILING.MATH((Table1[[#This Row],[Span_M]]*1000/6),50)</f>
        <v>2850</v>
      </c>
      <c r="H127" s="4">
        <f>_xlfn.CEILING.MATH((Table1[[#This Row],[Span_M]]*1000/58+150),20)</f>
        <v>460</v>
      </c>
      <c r="I127" s="4">
        <f t="shared" si="8"/>
        <v>832.625</v>
      </c>
      <c r="J127" s="4">
        <f t="shared" si="11"/>
        <v>120</v>
      </c>
    </row>
    <row r="128" spans="1:10" ht="16.05" customHeight="1">
      <c r="A128" s="4">
        <v>10000</v>
      </c>
      <c r="B128" s="4">
        <v>18</v>
      </c>
      <c r="C128" s="5">
        <v>4730</v>
      </c>
      <c r="D128" s="5">
        <f t="shared" si="10"/>
        <v>6410</v>
      </c>
      <c r="F128" s="4">
        <f>Table1[[#This Row],[Girder_kg]]+50+I128+100+250+400</f>
        <v>6405.125</v>
      </c>
      <c r="G128" s="4">
        <f>_xlfn.CEILING.MATH((Table1[[#This Row],[Span_M]]*1000/6),50)</f>
        <v>3000</v>
      </c>
      <c r="H128" s="4">
        <f>_xlfn.CEILING.MATH((Table1[[#This Row],[Span_M]]*1000/58+150),20)</f>
        <v>480</v>
      </c>
      <c r="I128" s="4">
        <f t="shared" si="8"/>
        <v>875.125</v>
      </c>
      <c r="J128" s="4">
        <f t="shared" si="11"/>
        <v>125</v>
      </c>
    </row>
    <row r="129" spans="1:10" ht="16.05" customHeight="1">
      <c r="A129" s="4">
        <v>10000</v>
      </c>
      <c r="B129" s="4">
        <v>19</v>
      </c>
      <c r="C129" s="5">
        <v>5225</v>
      </c>
      <c r="D129" s="5">
        <f t="shared" si="10"/>
        <v>6960</v>
      </c>
      <c r="F129" s="4">
        <f>Table1[[#This Row],[Girder_kg]]+50+I129+100+250+400</f>
        <v>6950.125</v>
      </c>
      <c r="G129" s="4">
        <f>_xlfn.CEILING.MATH((Table1[[#This Row],[Span_M]]*1000/6),50)</f>
        <v>3200</v>
      </c>
      <c r="H129" s="4">
        <f>_xlfn.CEILING.MATH((Table1[[#This Row],[Span_M]]*1000/58+150),20)</f>
        <v>480</v>
      </c>
      <c r="I129" s="4">
        <f t="shared" si="8"/>
        <v>925.125</v>
      </c>
      <c r="J129" s="4">
        <f t="shared" si="11"/>
        <v>125</v>
      </c>
    </row>
    <row r="130" spans="1:10" ht="16.05" customHeight="1">
      <c r="A130" s="4">
        <v>10000</v>
      </c>
      <c r="B130" s="4">
        <v>20</v>
      </c>
      <c r="C130" s="4">
        <v>6180</v>
      </c>
      <c r="D130" s="5">
        <f t="shared" si="10"/>
        <v>7950</v>
      </c>
      <c r="F130" s="4">
        <f>Table1[[#This Row],[Girder_kg]]+50+I130+100+250+400</f>
        <v>7947.625</v>
      </c>
      <c r="G130" s="4">
        <f>_xlfn.CEILING.MATH((Table1[[#This Row],[Span_M]]*1000/6),50)</f>
        <v>3350</v>
      </c>
      <c r="H130" s="4">
        <f>_xlfn.CEILING.MATH((Table1[[#This Row],[Span_M]]*1000/58+150),20)</f>
        <v>500</v>
      </c>
      <c r="I130" s="4">
        <f t="shared" si="8"/>
        <v>967.625</v>
      </c>
      <c r="J130" s="4">
        <f t="shared" si="11"/>
        <v>130</v>
      </c>
    </row>
    <row r="131" spans="1:10" ht="16.05" customHeight="1">
      <c r="A131" s="4">
        <v>10000</v>
      </c>
      <c r="B131" s="4">
        <v>21</v>
      </c>
      <c r="C131" s="4">
        <v>6720</v>
      </c>
      <c r="D131" s="5">
        <f t="shared" si="10"/>
        <v>8540</v>
      </c>
      <c r="F131" s="4">
        <f>Table1[[#This Row],[Girder_kg]]+50+I131+100+250+400</f>
        <v>8530.125</v>
      </c>
      <c r="G131" s="4">
        <f>_xlfn.CEILING.MATH((Table1[[#This Row],[Span_M]]*1000/6),50)</f>
        <v>3500</v>
      </c>
      <c r="H131" s="4">
        <f>_xlfn.CEILING.MATH((Table1[[#This Row],[Span_M]]*1000/58+150),20)</f>
        <v>520</v>
      </c>
      <c r="I131" s="4">
        <f t="shared" si="8"/>
        <v>1010.125</v>
      </c>
      <c r="J131" s="4">
        <f t="shared" si="11"/>
        <v>135</v>
      </c>
    </row>
    <row r="132" spans="1:10" ht="16.05" customHeight="1">
      <c r="A132" s="4">
        <v>10000</v>
      </c>
      <c r="B132" s="4">
        <v>22</v>
      </c>
      <c r="C132" s="4">
        <v>6984</v>
      </c>
      <c r="D132" s="5">
        <f t="shared" si="10"/>
        <v>8850</v>
      </c>
      <c r="F132" s="4">
        <f>Table1[[#This Row],[Girder_kg]]+50+I132+100+250+400</f>
        <v>8849.125</v>
      </c>
      <c r="G132" s="4">
        <f>_xlfn.CEILING.MATH((Table1[[#This Row],[Span_M]]*1000/6),50)</f>
        <v>3700</v>
      </c>
      <c r="H132" s="4">
        <f>_xlfn.CEILING.MATH((Table1[[#This Row],[Span_M]]*1000/58+150),20)</f>
        <v>540</v>
      </c>
      <c r="I132" s="4">
        <f t="shared" si="8"/>
        <v>1065.125</v>
      </c>
      <c r="J132" s="4">
        <f t="shared" si="11"/>
        <v>140</v>
      </c>
    </row>
    <row r="133" spans="1:10" ht="16.05" customHeight="1">
      <c r="A133" s="4">
        <v>10000</v>
      </c>
      <c r="B133" s="4">
        <v>23</v>
      </c>
      <c r="C133" s="4">
        <v>7680</v>
      </c>
      <c r="D133" s="5">
        <f t="shared" si="10"/>
        <v>9590</v>
      </c>
      <c r="F133" s="4">
        <f>Table1[[#This Row],[Girder_kg]]+50+I133+100+250+400</f>
        <v>9587.625</v>
      </c>
      <c r="G133" s="4">
        <f>_xlfn.CEILING.MATH((Table1[[#This Row],[Span_M]]*1000/6),50)</f>
        <v>3850</v>
      </c>
      <c r="H133" s="4">
        <f>_xlfn.CEILING.MATH((Table1[[#This Row],[Span_M]]*1000/58+150),20)</f>
        <v>560</v>
      </c>
      <c r="I133" s="4">
        <f t="shared" si="8"/>
        <v>1107.625</v>
      </c>
      <c r="J133" s="4">
        <f t="shared" si="11"/>
        <v>145</v>
      </c>
    </row>
    <row r="134" spans="1:10" ht="16.05" customHeight="1">
      <c r="A134" s="4">
        <v>10000</v>
      </c>
      <c r="B134" s="4">
        <v>24</v>
      </c>
      <c r="C134" s="4">
        <v>8100</v>
      </c>
      <c r="D134" s="5">
        <f t="shared" si="10"/>
        <v>10060</v>
      </c>
      <c r="F134" s="4">
        <f>Table1[[#This Row],[Girder_kg]]+50+I134+100+250+400</f>
        <v>10050.125</v>
      </c>
      <c r="G134" s="4">
        <f>_xlfn.CEILING.MATH((Table1[[#This Row],[Span_M]]*1000/6),50)</f>
        <v>4000</v>
      </c>
      <c r="H134" s="4">
        <f>_xlfn.CEILING.MATH((Table1[[#This Row],[Span_M]]*1000/58+150),20)</f>
        <v>580</v>
      </c>
      <c r="I134" s="4">
        <f t="shared" si="8"/>
        <v>1150.125</v>
      </c>
      <c r="J134" s="4">
        <f t="shared" si="11"/>
        <v>150</v>
      </c>
    </row>
    <row r="135" spans="1:10" ht="16.05" customHeight="1">
      <c r="A135" s="4">
        <v>10000</v>
      </c>
      <c r="B135" s="4">
        <v>25</v>
      </c>
      <c r="C135" s="4">
        <v>9600</v>
      </c>
      <c r="D135" s="5">
        <f t="shared" si="10"/>
        <v>11610</v>
      </c>
      <c r="F135" s="4">
        <f>Table1[[#This Row],[Girder_kg]]+50+I135+100+250+400</f>
        <v>11605.125</v>
      </c>
      <c r="G135" s="4">
        <f>_xlfn.CEILING.MATH((Table1[[#This Row],[Span_M]]*1000/6),50)</f>
        <v>4200</v>
      </c>
      <c r="H135" s="4">
        <f>_xlfn.CEILING.MATH((Table1[[#This Row],[Span_M]]*1000/58+150),20)</f>
        <v>600</v>
      </c>
      <c r="I135" s="4">
        <f t="shared" si="8"/>
        <v>1205.125</v>
      </c>
      <c r="J135" s="4">
        <f t="shared" si="11"/>
        <v>155</v>
      </c>
    </row>
    <row r="136" spans="1:10" ht="16.05" customHeight="1">
      <c r="A136" s="4">
        <v>10000</v>
      </c>
      <c r="B136" s="4">
        <v>28</v>
      </c>
      <c r="C136" s="4">
        <v>11000</v>
      </c>
      <c r="D136" s="5">
        <f t="shared" si="10"/>
        <v>13150</v>
      </c>
      <c r="F136" s="4">
        <f>Table1[[#This Row],[Girder_kg]]+50+I136+100+250+400</f>
        <v>13140.125</v>
      </c>
      <c r="G136" s="4">
        <f>_xlfn.CEILING.MATH((Table1[[#This Row],[Span_M]]*1000/6),50)</f>
        <v>4700</v>
      </c>
      <c r="H136" s="4">
        <f>_xlfn.CEILING.MATH((Table1[[#This Row],[Span_M]]*1000/58+150),20)</f>
        <v>640</v>
      </c>
      <c r="I136" s="4">
        <f t="shared" si="8"/>
        <v>1340.125</v>
      </c>
      <c r="J136" s="4">
        <f t="shared" si="11"/>
        <v>165</v>
      </c>
    </row>
    <row r="137" spans="1:10" ht="16.05" customHeight="1">
      <c r="A137" s="4">
        <v>10000</v>
      </c>
      <c r="B137" s="4">
        <v>30</v>
      </c>
      <c r="C137" s="4">
        <v>15000</v>
      </c>
      <c r="D137" s="5">
        <f t="shared" si="10"/>
        <v>17230</v>
      </c>
      <c r="F137" s="4">
        <f>Table1[[#This Row],[Girder_kg]]+50+I137+100+250+400</f>
        <v>17225.125</v>
      </c>
      <c r="G137" s="4">
        <f>_xlfn.CEILING.MATH((Table1[[#This Row],[Span_M]]*1000/6),50)</f>
        <v>5000</v>
      </c>
      <c r="H137" s="4">
        <f>_xlfn.CEILING.MATH((Table1[[#This Row],[Span_M]]*1000/58+150),20)</f>
        <v>680</v>
      </c>
      <c r="I137" s="4">
        <f>(G137+0.5)/1000*250+J137</f>
        <v>1425.125</v>
      </c>
      <c r="J137" s="4">
        <f t="shared" si="11"/>
        <v>175</v>
      </c>
    </row>
    <row r="138" spans="1:10" ht="16.05" customHeight="1">
      <c r="A138" s="4"/>
      <c r="B138" s="4"/>
      <c r="C138" s="4"/>
      <c r="D138" s="5"/>
    </row>
  </sheetData>
  <mergeCells count="1">
    <mergeCell ref="M4:Q4"/>
  </mergeCells>
  <pageMargins left="0.25" right="0.25" top="0.75" bottom="0.75" header="0.3" footer="0.3"/>
  <pageSetup paperSize="9" scale="62" orientation="landscape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cp:lastPrinted>2025-05-05T07:14:18Z</cp:lastPrinted>
  <dcterms:created xsi:type="dcterms:W3CDTF">2018-10-29T10:08:00Z</dcterms:created>
  <dcterms:modified xsi:type="dcterms:W3CDTF">2026-09-01T15:14:17Z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E03F4BF46CF74BE5A8FB830E2D0E6A7A_12</vt:lpwstr>
  </property>
  <property fmtid="{D5CDD505-2E9C-101B-9397-08002B2CF9AE}" pid="3" name="KSOProductBuildVer">
    <vt:lpwstr>1033-12.2.0.19805</vt:lpwstr>
  </property>
</Properties>
</file>